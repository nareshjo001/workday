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96e78039694e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6d4dcf431023435e"/>
    <x:sheet xmlns:r="http://schemas.openxmlformats.org/officeDocument/2006/relationships" name="Checklist" sheetId="2" r:id="R02202555c45841dc"/>
    <x:sheet xmlns:r="http://schemas.openxmlformats.org/officeDocument/2006/relationships" name="Dependencies" sheetId="3" r:id="R9506427bb4f24cfc"/>
    <x:sheet xmlns:r="http://schemas.openxmlformats.org/officeDocument/2006/relationships" name="Releases" sheetId="4" r:id="R37be12a982f34320"/>
    <x:sheet xmlns:r="http://schemas.openxmlformats.org/officeDocument/2006/relationships" name="Legend" sheetId="5" r:id="R2f08e573395d48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c727b6cd1a4698" /><Relationship Type="http://schemas.openxmlformats.org/officeDocument/2006/relationships/theme" Target="/xl/theme/theme1.xml" Id="Rc78aff3b9caf4079" /><Relationship Type="http://schemas.openxmlformats.org/officeDocument/2006/relationships/sharedStrings" Target="/xl/sharedStrings.xml" Id="R184fa1bf5e69415b" /><Relationship Type="http://schemas.openxmlformats.org/officeDocument/2006/relationships/worksheet" Target="/xl/worksheets/sheet1.xml" Id="R6d4dcf431023435e" /><Relationship Type="http://schemas.openxmlformats.org/officeDocument/2006/relationships/worksheet" Target="/xl/worksheets/sheet2.xml" Id="R02202555c45841dc" /><Relationship Type="http://schemas.openxmlformats.org/officeDocument/2006/relationships/worksheet" Target="/xl/worksheets/sheet3.xml" Id="R9506427bb4f24cfc" /><Relationship Type="http://schemas.openxmlformats.org/officeDocument/2006/relationships/worksheet" Target="/xl/worksheets/sheet4.xml" Id="R37be12a982f34320" /><Relationship Type="http://schemas.openxmlformats.org/officeDocument/2006/relationships/worksheet" Target="/xl/worksheets/sheet5.xml" Id="R2f08e573395d48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0.8983739837398373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1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v>1</x:v>
      </x:c>
      <x:c r="I20" s="24" t="str">
        <x:v>☑</x:v>
      </x:c>
      <x:c r="J20" s="24" t="str">
        <x:v>Completed 2026-09-07: date-aware assignment scheduling, vendor/contractor availability, controlled release, UI, audit, migration, concurrency tests, and full regression verification.</x:v>
      </x:c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v>1</x:v>
      </x:c>
      <x:c r="I21" s="24" t="str">
        <x:v>☑</x:v>
      </x:c>
      <x:c r="J21" s="24" t="str">
        <x:v>Completed 2026-09-07: Vendor candidate submissions, PM-only decisions/acceptance, audited lifecycle, direct-placement retirement, and regression migration.</x:v>
      </x:c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v>1</x:v>
      </x:c>
      <x:c r="I22" s="24" t="str">
        <x:v>☑</x:v>
      </x:c>
      <x:c r="J22" s="24" t="str">
        <x:v>Completed 2026-09-07: project response SLA policy, derived candidate funnel and breach visibility, scoped PM/Vendor dashboards, filters, UI, and regression coverage.</x:v>
      </x:c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v>1</x:v>
      </x:c>
      <x:c r="I23" s="24" t="str">
        <x:v>☑</x:v>
      </x:c>
      <x:c r="J23" s="24" t="str">
        <x:v>Completed 2026-09-07: post-commit in-app notifications, inbox/preferences UI, expiry materialization, tenant-scoped APIs, and regression verification.</x:v>
      </x:c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v>1</x:v>
      </x:c>
      <x:c r="I24" s="24" t="str">
        <x:v>☑</x:v>
      </x:c>
      <x:c r="J24" s="24" t="str">
        <x:v>M15 complete: rate cards, immutable assignment snapshots, and rate history verified.</x:v>
      </x:c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v>1</x:v>
      </x:c>
      <x:c r="I25" s="24" t="str">
        <x:v>☑</x:v>
      </x:c>
      <x:c r="J25" s="24" t="str">
        <x:v>M16 complete: milestone metadata, lifecycle safeguards, timeline and verification.</x:v>
      </x:c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v>1</x:v>
      </x:c>
      <x:c r="I26" s="24" t="str">
        <x:v>☑</x:v>
      </x:c>
      <x:c r="J26" s="24" t="str">
        <x:v>M17 complete: Vendor billing queue, invoice drafts, PM review, and immutable item snapshots.</x:v>
      </x:c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1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1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v>1</x:v>
      </x:c>
      <x:c r="I29" s="24" t="str">
        <x:v>☑</x:v>
      </x:c>
      <x:c r="J29" s="24" t="str">
        <x:v>Completed 2026-09-08: M20 dashboards, CSV exports, tests, audit and documentation.</x:v>
      </x:c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1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221</x:v>
      </x:c>
      <x:c r="C4" t="str">
        <x:v>Remaining</x:v>
      </x:c>
      <x:c r="D4" t="n">
        <x:f>COUNTA(G8:G400)-COUNTIF(J8:J400,"☑")</x:f>
        <x:v>24</x:v>
      </x:c>
    </x:row>
    <x:row r="5">
      <x:c r="A5" t="str">
        <x:v>Completion</x:v>
      </x:c>
      <x:c r="B5" s="14" t="n">
        <x:f>IFERROR(B4/COUNTA(G8:G400),0)</x:f>
        <x:v>0.9020408163265307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☑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☑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☑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☑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☑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☑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☑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☑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☑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☑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☑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☑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☑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☑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☑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☑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☑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☑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☑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☑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☑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☑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☑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☑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☑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☑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☑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☑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☑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☑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☑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☑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☑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☑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☑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☑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☑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☑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☑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☑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☑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☑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☑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☑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☑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☑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☑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☑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☑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☑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☑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☑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☑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☑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☑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☑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☑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☑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☑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☑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☑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☑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☑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☑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☑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☑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☑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☑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☑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☑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☑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☑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☑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☑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☑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☑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☑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☑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☑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☑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☑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☑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☑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☑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☑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☑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☑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☑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☑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☑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☑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☑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☑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☑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☑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☑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☑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☑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☑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☑</x:v>
      </x:c>
      <x:c r="K213" s="24" t="str">
        <x:v>Completed 2026-09-08: dashboards, scoped exports, tests, audit and documentation verified.</x:v>
      </x:c>
      <x:c r="L213" s="24" t="str">
        <x:v>2026-09-08</x:v>
      </x:c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☑</x:v>
      </x:c>
      <x:c r="K214" s="24" t="str">
        <x:v>Completed 2026-09-08: dashboards, scoped exports, tests, audit and documentation verified.</x:v>
      </x:c>
      <x:c r="L214" s="24" t="str">
        <x:v>2026-09-08</x:v>
      </x:c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☑</x:v>
      </x:c>
      <x:c r="K215" s="24" t="str">
        <x:v>Completed 2026-09-08: dashboards, scoped exports, tests, audit and documentation verified.</x:v>
      </x:c>
      <x:c r="L215" s="24" t="str">
        <x:v>2026-09-08</x:v>
      </x:c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☑</x:v>
      </x:c>
      <x:c r="K216" s="24" t="str">
        <x:v>Completed 2026-09-08: dashboards, scoped exports, tests, audit and documentation verified.</x:v>
      </x:c>
      <x:c r="L216" s="24" t="str">
        <x:v>2026-09-08</x:v>
      </x:c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☑</x:v>
      </x:c>
      <x:c r="K217" s="24" t="str">
        <x:v>Completed 2026-09-08: dashboards, scoped exports, tests, audit and documentation verified.</x:v>
      </x:c>
      <x:c r="L217" s="24" t="str">
        <x:v>2026-09-08</x:v>
      </x:c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☑</x:v>
      </x:c>
      <x:c r="K218" s="24" t="str">
        <x:v>Completed 2026-09-08: dashboards, scoped exports, tests, audit and documentation verified.</x:v>
      </x:c>
      <x:c r="L218" s="24" t="str">
        <x:v>2026-09-08</x:v>
      </x:c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☑</x:v>
      </x:c>
      <x:c r="K219" s="24" t="str">
        <x:v>Completed 2026-09-08: dashboards, scoped exports, tests, audit and documentation verified.</x:v>
      </x:c>
      <x:c r="L219" s="24" t="str">
        <x:v>2026-09-08</x:v>
      </x:c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☑</x:v>
      </x:c>
      <x:c r="K220" s="24" t="str">
        <x:v>Completed 2026-09-08: dashboards, scoped exports, tests, audit and documentation verified.</x:v>
      </x:c>
      <x:c r="L220" s="24" t="str">
        <x:v>2026-09-08</x:v>
      </x:c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☑</x:v>
      </x:c>
      <x:c r="K221" s="24" t="str">
        <x:v>Completed 2026-09-08: dashboards, scoped exports, tests, audit and documentation verified.</x:v>
      </x:c>
      <x:c r="L221" s="24" t="str">
        <x:v>2026-09-08</x:v>
      </x:c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☑</x:v>
      </x:c>
      <x:c r="K222" s="24" t="str">
        <x:v>Completed 2026-09-08: dashboards, scoped exports, tests, audit and documentation verified.</x:v>
      </x:c>
      <x:c r="L222" s="24" t="str">
        <x:v>2026-09-08</x:v>
      </x:c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☑</x:v>
      </x:c>
      <x:c r="K223" s="24" t="str">
        <x:v>Completed 2026-09-08: dashboards, scoped exports, tests, audit and documentation verified.</x:v>
      </x:c>
      <x:c r="L223" s="24" t="str">
        <x:v>2026-09-08</x:v>
      </x:c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☑</x:v>
      </x:c>
      <x:c r="K224" s="24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☑</x:v>
      </x:c>
      <x:c r="K225" s="24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☑</x:v>
      </x:c>
      <x:c r="K226" s="24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☑</x:v>
      </x:c>
      <x:c r="K227" s="24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☑</x:v>
      </x:c>
      <x:c r="K228" s="24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☑</x:v>
      </x:c>
      <x:c r="K229" s="24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☑</x:v>
      </x:c>
      <x:c r="K230" s="24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☑</x:v>
      </x:c>
      <x:c r="K231" s="24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