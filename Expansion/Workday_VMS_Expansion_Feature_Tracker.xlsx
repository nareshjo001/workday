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d003cd04c142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a8ca03bd1e9645d6"/>
    <x:sheet xmlns:r="http://schemas.openxmlformats.org/officeDocument/2006/relationships" name="Checklist" sheetId="2" r:id="R90e674a0e34a4cc1"/>
    <x:sheet xmlns:r="http://schemas.openxmlformats.org/officeDocument/2006/relationships" name="Dependencies" sheetId="3" r:id="Rad9b0a35c05b4998"/>
    <x:sheet xmlns:r="http://schemas.openxmlformats.org/officeDocument/2006/relationships" name="Releases" sheetId="4" r:id="R3c65daf67d9d4c57"/>
    <x:sheet xmlns:r="http://schemas.openxmlformats.org/officeDocument/2006/relationships" name="Legend" sheetId="5" r:id="Rb58090f29fc049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52ec12f98d4894" /><Relationship Type="http://schemas.openxmlformats.org/officeDocument/2006/relationships/theme" Target="/xl/theme/theme1.xml" Id="Rfc93adb2416b4609" /><Relationship Type="http://schemas.openxmlformats.org/officeDocument/2006/relationships/sharedStrings" Target="/xl/sharedStrings.xml" Id="R2806ee685335452f" /><Relationship Type="http://schemas.openxmlformats.org/officeDocument/2006/relationships/worksheet" Target="/xl/worksheets/sheet1.xml" Id="Ra8ca03bd1e9645d6" /><Relationship Type="http://schemas.openxmlformats.org/officeDocument/2006/relationships/worksheet" Target="/xl/worksheets/sheet2.xml" Id="R90e674a0e34a4cc1" /><Relationship Type="http://schemas.openxmlformats.org/officeDocument/2006/relationships/worksheet" Target="/xl/worksheets/sheet3.xml" Id="Rad9b0a35c05b4998" /><Relationship Type="http://schemas.openxmlformats.org/officeDocument/2006/relationships/worksheet" Target="/xl/worksheets/sheet4.xml" Id="R3c65daf67d9d4c57" /><Relationship Type="http://schemas.openxmlformats.org/officeDocument/2006/relationships/worksheet" Target="/xl/worksheets/sheet5.xml" Id="Rb58090f29fc0499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0.8211382113821138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v>1</x:v>
      </x:c>
      <x:c r="I24" s="24" t="str">
        <x:v>☑</x:v>
      </x:c>
      <x:c r="J24" s="24" t="str">
        <x:v>M15 complete: rate cards, immutable assignment snapshots, and rate history verified.</x:v>
      </x:c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v>1</x:v>
      </x:c>
      <x:c r="I25" s="24" t="str">
        <x:v>☑</x:v>
      </x:c>
      <x:c r="J25" s="24" t="str">
        <x:v>M16 complete: milestone metadata, lifecycle safeguards, timeline and verification.</x:v>
      </x:c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v>1</x:v>
      </x:c>
      <x:c r="I26" s="24" t="str">
        <x:v>☑</x:v>
      </x:c>
      <x:c r="J26" s="24" t="str">
        <x:v>M17 complete: Vendor billing queue, invoice drafts, PM review, and immutable item snapshots.</x:v>
      </x:c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1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1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202</x:v>
      </x:c>
      <x:c r="C4" t="str">
        <x:v>Remaining</x:v>
      </x:c>
      <x:c r="D4" t="n">
        <x:f>COUNTA(G8:G400)-COUNTIF(J8:J400,"☑")</x:f>
        <x:v>43</x:v>
      </x:c>
    </x:row>
    <x:row r="5">
      <x:c r="A5" t="str">
        <x:v>Completion</x:v>
      </x:c>
      <x:c r="B5" s="14" t="n">
        <x:f>IFERROR(B4/COUNTA(G8:G400),0)</x:f>
        <x:v>0.8244897959183674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☑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☑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☑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☑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☑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☑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☑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☑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☑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☑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☑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☑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☑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☑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☑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☑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☑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☑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☑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☑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☑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☑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☑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☑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☑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☑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☑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☑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☑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☑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☑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☑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☑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☑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☑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☑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☑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☑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☑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☑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☑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☑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☑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☑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☑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☑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☑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☑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☑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☑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