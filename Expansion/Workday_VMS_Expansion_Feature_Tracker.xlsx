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4f2c512ef45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ac9fb4be024b4d94"/>
    <x:sheet xmlns:r="http://schemas.openxmlformats.org/officeDocument/2006/relationships" name="Checklist" sheetId="2" r:id="R555afa77687d418f"/>
    <x:sheet xmlns:r="http://schemas.openxmlformats.org/officeDocument/2006/relationships" name="Dependencies" sheetId="3" r:id="R9471c1491a44403a"/>
    <x:sheet xmlns:r="http://schemas.openxmlformats.org/officeDocument/2006/relationships" name="Releases" sheetId="4" r:id="Rfc74ff4883bc4764"/>
    <x:sheet xmlns:r="http://schemas.openxmlformats.org/officeDocument/2006/relationships" name="Legend" sheetId="5" r:id="Re8b06af06a60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FF2E3"/>
        </x:patternFill>
      </x:fill>
    </x:dxf>
    <x:dxf>
      <x:font>
        <x:b/>
        <x:color rgb="FF166534"/>
      </x:font>
      <x:fill>
        <x:patternFill patternType="solid">
          <x:bgColor rgb="FFDFF2E3"/>
        </x:patternFill>
      </x:fill>
    </x:dxf>
    <x:dxf>
      <x:font>
        <x:b/>
        <x:color rgb="FF991B1B"/>
      </x:font>
      <x:fill>
        <x:patternFill patternType="solid">
          <x:bgColor rgb="FFFDECEC"/>
        </x:patternFill>
      </x:fill>
    </x:dxf>
    <x:dxf>
      <x:font>
        <x:b/>
        <x:color rgb="FF92400E"/>
      </x:font>
      <x:fill>
        <x:patternFill patternType="solid">
          <x:bgColor rgb="FFFFF3CD"/>
        </x:patternFill>
      </x:fill>
    </x:dxf>
    <x:dxf>
      <x:font>
        <x:b/>
        <x:color rgb="FF1F4E79"/>
      </x:font>
      <x:fill>
        <x:patternFill patternType="solid">
          <x:bgColor rgb="FFEAF3F6"/>
        </x:patternFill>
      </x:fill>
    </x:dxf>
    <x:dxf>
      <x:font>
        <x:b/>
        <x:color rgb="FF166534"/>
      </x:font>
      <x:fill>
        <x:patternFill patternType="solid"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be9f1cbf604762" /><Relationship Type="http://schemas.openxmlformats.org/officeDocument/2006/relationships/theme" Target="/xl/theme/theme1.xml" Id="Rf39a6bb8af844c46" /><Relationship Type="http://schemas.openxmlformats.org/officeDocument/2006/relationships/sharedStrings" Target="/xl/sharedStrings.xml" Id="R596f7c1e37734485" /><Relationship Type="http://schemas.openxmlformats.org/officeDocument/2006/relationships/worksheet" Target="/xl/worksheets/sheet1.xml" Id="Rac9fb4be024b4d94" /><Relationship Type="http://schemas.openxmlformats.org/officeDocument/2006/relationships/worksheet" Target="/xl/worksheets/sheet2.xml" Id="R555afa77687d418f" /><Relationship Type="http://schemas.openxmlformats.org/officeDocument/2006/relationships/worksheet" Target="/xl/worksheets/sheet3.xml" Id="R9471c1491a44403a" /><Relationship Type="http://schemas.openxmlformats.org/officeDocument/2006/relationships/worksheet" Target="/xl/worksheets/sheet4.xml" Id="Rfc74ff4883bc4764" /><Relationship Type="http://schemas.openxmlformats.org/officeDocument/2006/relationships/worksheet" Target="/xl/worksheets/sheet5.xml" Id="Re8b06af06a6047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0.03673469387755102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0</x:v>
      </x:c>
      <x:c r="I10" s="24" t="str">
        <x:v>☐</x:v>
      </x:c>
      <x:c r="J10" s="24" t="str"/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f>IFERROR(COUNTIFS(Checklist!$A$2:$A$400,A11,Checklist!$J$2:$J$400,"☑")/COUNTIF(Checklist!$A$2:$A$400,A11),0)</x:f>
        <x:v>0</x:v>
      </x:c>
      <x:c r="I11" s="24" t="str">
        <x:v>☐</x:v>
      </x:c>
      <x:c r="J11" s="24" t="str"/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f>IFERROR(COUNTIFS(Checklist!$A$2:$A$400,A12,Checklist!$J$2:$J$400,"☑")/COUNTIF(Checklist!$A$2:$A$400,A12),0)</x:f>
        <x:v>0</x:v>
      </x:c>
      <x:c r="I12" s="24" t="str">
        <x:v>☐</x:v>
      </x:c>
      <x:c r="J12" s="24" t="str"/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f>IFERROR(COUNTIFS(Checklist!$A$2:$A$400,A13,Checklist!$J$2:$J$400,"☑")/COUNTIF(Checklist!$A$2:$A$400,A13),0)</x:f>
        <x:v>0</x:v>
      </x:c>
      <x:c r="I13" s="24" t="str">
        <x:v>☐</x:v>
      </x:c>
      <x:c r="J13" s="24" t="str"/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f>IFERROR(COUNTIFS(Checklist!$A$2:$A$400,A14,Checklist!$J$2:$J$400,"☑")/COUNTIF(Checklist!$A$2:$A$400,A14),0)</x:f>
        <x:v>0</x:v>
      </x:c>
      <x:c r="I14" s="24" t="str">
        <x:v>☐</x:v>
      </x:c>
      <x:c r="J14" s="24" t="str"/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9</x:v>
      </x:c>
      <x:c r="C4" t="str">
        <x:v>Remaining</x:v>
      </x:c>
      <x:c r="D4" t="n">
        <x:f>COUNTA(G8:G400)-COUNTIF(J8:J400,"☑")</x:f>
        <x:v>236</x:v>
      </x:c>
    </x:row>
    <x:row r="5">
      <x:c r="A5" t="str">
        <x:v>Completion</x:v>
      </x:c>
      <x:c r="B5" s="14" t="n">
        <x:f>IFERROR(B4/COUNTA(G8:G400),0)</x:f>
        <x:v>0.03673469387755102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☐</x:v>
      </x:c>
      <x:c r="K17" s="24" t="str"/>
      <x:c r="L17" s="24"/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☐</x:v>
      </x:c>
      <x:c r="K18" s="24" t="str"/>
      <x:c r="L18" s="24"/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☐</x:v>
      </x:c>
      <x:c r="K19" s="24" t="str"/>
      <x:c r="L19" s="24"/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☐</x:v>
      </x:c>
      <x:c r="K20" s="24" t="str"/>
      <x:c r="L20" s="24"/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☐</x:v>
      </x:c>
      <x:c r="K21" s="24" t="str"/>
      <x:c r="L21" s="24"/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☐</x:v>
      </x:c>
      <x:c r="K22" s="24" t="str"/>
      <x:c r="L22" s="24"/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☐</x:v>
      </x:c>
      <x:c r="K23" s="24" t="str"/>
      <x:c r="L23" s="24"/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☐</x:v>
      </x:c>
      <x:c r="K24" s="24" t="str"/>
      <x:c r="L24" s="24"/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☐</x:v>
      </x:c>
      <x:c r="K25" s="24" t="str"/>
      <x:c r="L25" s="24"/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☐</x:v>
      </x:c>
      <x:c r="K26" s="24" t="str"/>
      <x:c r="L26" s="24"/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☐</x:v>
      </x:c>
      <x:c r="K27" s="24" t="str"/>
      <x:c r="L27" s="24"/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☐</x:v>
      </x:c>
      <x:c r="K28" s="24" t="str"/>
      <x:c r="L28" s="24"/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☐</x:v>
      </x:c>
      <x:c r="K29" s="24" t="str"/>
      <x:c r="L29" s="24"/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☐</x:v>
      </x:c>
      <x:c r="K30" s="24" t="str"/>
      <x:c r="L30" s="24"/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☐</x:v>
      </x:c>
      <x:c r="K31" s="24" t="str"/>
      <x:c r="L31" s="24"/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☐</x:v>
      </x:c>
      <x:c r="K32" s="24" t="str"/>
      <x:c r="L32" s="24"/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☐</x:v>
      </x:c>
      <x:c r="K33" s="24" t="str"/>
      <x:c r="L33" s="24"/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☐</x:v>
      </x:c>
      <x:c r="K34" s="24" t="str"/>
      <x:c r="L34" s="24"/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☐</x:v>
      </x:c>
      <x:c r="K35" s="24" t="str"/>
      <x:c r="L35" s="24"/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☐</x:v>
      </x:c>
      <x:c r="K36" s="24" t="str"/>
      <x:c r="L36" s="24"/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☐</x:v>
      </x:c>
      <x:c r="K37" s="24" t="str"/>
      <x:c r="L37" s="24"/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☐</x:v>
      </x:c>
      <x:c r="K38" s="24" t="str"/>
      <x:c r="L38" s="24"/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☐</x:v>
      </x:c>
      <x:c r="K39" s="24" t="str"/>
      <x:c r="L39" s="24"/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☐</x:v>
      </x:c>
      <x:c r="K40" s="24" t="str"/>
      <x:c r="L40" s="24"/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☐</x:v>
      </x:c>
      <x:c r="K41" s="24" t="str"/>
      <x:c r="L41" s="24"/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☐</x:v>
      </x:c>
      <x:c r="K42" s="24" t="str"/>
      <x:c r="L42" s="24"/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☐</x:v>
      </x:c>
      <x:c r="K43" s="24" t="str"/>
      <x:c r="L43" s="24"/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☐</x:v>
      </x:c>
      <x:c r="K44" s="24" t="str"/>
      <x:c r="L44" s="24"/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☐</x:v>
      </x:c>
      <x:c r="K45" s="24" t="str"/>
      <x:c r="L45" s="24"/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☐</x:v>
      </x:c>
      <x:c r="K46" s="24" t="str"/>
      <x:c r="L46" s="24"/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☐</x:v>
      </x:c>
      <x:c r="K47" s="24" t="str"/>
      <x:c r="L47" s="24"/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☐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☐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☐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☐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☐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☐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☐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☐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☐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☐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☐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☐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☐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☐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☐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☐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☐</x:v>
      </x:c>
      <x:c r="K64" s="24" t="str"/>
      <x:c r="L64" s="24"/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☐</x:v>
      </x:c>
      <x:c r="K65" s="24" t="str"/>
      <x:c r="L65" s="24"/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☐</x:v>
      </x:c>
      <x:c r="K66" s="24" t="str"/>
      <x:c r="L66" s="24"/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