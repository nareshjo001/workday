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40f6884e9f42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ed77e4215da24836"/>
    <x:sheet xmlns:r="http://schemas.openxmlformats.org/officeDocument/2006/relationships" name="Checklist" sheetId="2" r:id="R48df308eb2ad4b90"/>
    <x:sheet xmlns:r="http://schemas.openxmlformats.org/officeDocument/2006/relationships" name="Dependencies" sheetId="3" r:id="R8178b4a104c14162"/>
    <x:sheet xmlns:r="http://schemas.openxmlformats.org/officeDocument/2006/relationships" name="Releases" sheetId="4" r:id="R44b4bb557c3f44e3"/>
    <x:sheet xmlns:r="http://schemas.openxmlformats.org/officeDocument/2006/relationships" name="Legend" sheetId="5" r:id="Refdd0d417d5441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ceaa48139245d0" /><Relationship Type="http://schemas.openxmlformats.org/officeDocument/2006/relationships/theme" Target="/xl/theme/theme1.xml" Id="R89826806a5fb4520" /><Relationship Type="http://schemas.openxmlformats.org/officeDocument/2006/relationships/sharedStrings" Target="/xl/sharedStrings.xml" Id="Rcb00ab96cb3f4b1a" /><Relationship Type="http://schemas.openxmlformats.org/officeDocument/2006/relationships/worksheet" Target="/xl/worksheets/sheet1.xml" Id="Red77e4215da24836" /><Relationship Type="http://schemas.openxmlformats.org/officeDocument/2006/relationships/worksheet" Target="/xl/worksheets/sheet2.xml" Id="R48df308eb2ad4b90" /><Relationship Type="http://schemas.openxmlformats.org/officeDocument/2006/relationships/worksheet" Target="/xl/worksheets/sheet3.xml" Id="R8178b4a104c14162" /><Relationship Type="http://schemas.openxmlformats.org/officeDocument/2006/relationships/worksheet" Target="/xl/worksheets/sheet4.xml" Id="R44b4bb557c3f44e3" /><Relationship Type="http://schemas.openxmlformats.org/officeDocument/2006/relationships/worksheet" Target="/xl/worksheets/sheet5.xml" Id="Refdd0d417d5441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0.7398373983739838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v>1</x:v>
      </x:c>
      <x:c r="I22" s="24" t="str">
        <x:v>☑</x:v>
      </x:c>
      <x:c r="J22" s="24" t="str">
        <x:v>Completed 2026-09-07: project response SLA policy, derived candidate funnel and breach visibility, scoped PM/Vendor dashboards, filters, UI, and regression coverage.</x:v>
      </x:c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v>1</x:v>
      </x:c>
      <x:c r="I23" s="24" t="str">
        <x:v>☑</x:v>
      </x:c>
      <x:c r="J23" s="24" t="str">
        <x:v>Completed 2026-09-07: post-commit in-app notifications, inbox/preferences UI, expiry materialization, tenant-scoped APIs, and regression verification.</x:v>
      </x:c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v>1</x:v>
      </x:c>
      <x:c r="I24" s="24" t="str">
        <x:v>☑</x:v>
      </x:c>
      <x:c r="J24" s="24" t="str">
        <x:v>M15 complete: rate cards, immutable assignment snapshots, and rate history verified.</x:v>
      </x:c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v>1</x:v>
      </x:c>
      <x:c r="I25" s="24" t="str">
        <x:v>☑</x:v>
      </x:c>
      <x:c r="J25" s="24" t="str">
        <x:v>M16 complete: milestone metadata, lifecycle safeguards, timeline and verification.</x:v>
      </x:c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v>1</x:v>
      </x:c>
      <x:c r="I26" s="24" t="str">
        <x:v>☑</x:v>
      </x:c>
      <x:c r="J26" s="24" t="str">
        <x:v>M17 complete: Vendor billing queue, invoice drafts, PM review, and immutable item snapshots.</x:v>
      </x:c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182</x:v>
      </x:c>
      <x:c r="C4" t="str">
        <x:v>Remaining</x:v>
      </x:c>
      <x:c r="D4" t="n">
        <x:f>COUNTA(G8:G400)-COUNTIF(J8:J400,"☑")</x:f>
        <x:v>63</x:v>
      </x:c>
    </x:row>
    <x:row r="5">
      <x:c r="A5" t="str">
        <x:v>Completion</x:v>
      </x:c>
      <x:c r="B5" s="14" t="n">
        <x:f>IFERROR(B4/COUNTA(G8:G400),0)</x:f>
        <x:v>0.7428571428571429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☑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☑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☑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☑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☑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☑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☑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☑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☑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☑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☑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☑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☑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☑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☑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☑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☑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☑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☑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☑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☑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☑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☑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☑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☑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☑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☑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☑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☑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☑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☑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☑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☑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☑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☑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☑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☑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☑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☑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☑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☑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☑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☑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☑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☑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☑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☑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