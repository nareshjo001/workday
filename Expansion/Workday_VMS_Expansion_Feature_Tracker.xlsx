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71f3d9c3494e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fad9b399a9c94f88"/>
    <x:sheet xmlns:r="http://schemas.openxmlformats.org/officeDocument/2006/relationships" name="Checklist" sheetId="2" r:id="R17e40dcb905d489a"/>
    <x:sheet xmlns:r="http://schemas.openxmlformats.org/officeDocument/2006/relationships" name="Dependencies" sheetId="3" r:id="R772e6065c2b046eb"/>
    <x:sheet xmlns:r="http://schemas.openxmlformats.org/officeDocument/2006/relationships" name="Releases" sheetId="4" r:id="R7f6bcd8481c44450"/>
    <x:sheet xmlns:r="http://schemas.openxmlformats.org/officeDocument/2006/relationships" name="Legend" sheetId="5" r:id="Rc9fb8b57cb6e4a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977c0d7f9a4658" /><Relationship Type="http://schemas.openxmlformats.org/officeDocument/2006/relationships/theme" Target="/xl/theme/theme1.xml" Id="R6486bbe877a04ab3" /><Relationship Type="http://schemas.openxmlformats.org/officeDocument/2006/relationships/sharedStrings" Target="/xl/sharedStrings.xml" Id="R3a79d4df8c924ca8" /><Relationship Type="http://schemas.openxmlformats.org/officeDocument/2006/relationships/worksheet" Target="/xl/worksheets/sheet1.xml" Id="Rfad9b399a9c94f88" /><Relationship Type="http://schemas.openxmlformats.org/officeDocument/2006/relationships/worksheet" Target="/xl/worksheets/sheet2.xml" Id="R17e40dcb905d489a" /><Relationship Type="http://schemas.openxmlformats.org/officeDocument/2006/relationships/worksheet" Target="/xl/worksheets/sheet3.xml" Id="R772e6065c2b046eb" /><Relationship Type="http://schemas.openxmlformats.org/officeDocument/2006/relationships/worksheet" Target="/xl/worksheets/sheet4.xml" Id="R7f6bcd8481c44450" /><Relationship Type="http://schemas.openxmlformats.org/officeDocument/2006/relationships/worksheet" Target="/xl/worksheets/sheet5.xml" Id="Rc9fb8b57cb6e4a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0.8658536585365854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1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1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v>1</x:v>
      </x:c>
      <x:c r="I29" s="24" t="str">
        <x:v>☑</x:v>
      </x:c>
      <x:c r="J29" s="24" t="str">
        <x:v>Completed 2026-09-08: M20 dashboards, CSV exports, tests, audit and documentation.</x:v>
      </x:c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213</x:v>
      </x:c>
      <x:c r="C4" t="str">
        <x:v>Remaining</x:v>
      </x:c>
      <x:c r="D4" t="n">
        <x:f>COUNTA(G8:G400)-COUNTIF(J8:J400,"☑")</x:f>
        <x:v>32</x:v>
      </x:c>
    </x:row>
    <x:row r="5">
      <x:c r="A5" t="str">
        <x:v>Completion</x:v>
      </x:c>
      <x:c r="B5" s="14" t="n">
        <x:f>IFERROR(B4/COUNTA(G8:G400),0)</x:f>
        <x:v>0.8693877551020408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☑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☑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☑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☑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☑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☑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☑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☑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☑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☑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☑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☑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☑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☑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☑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☑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☑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☑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☑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☑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☑</x:v>
      </x:c>
      <x:c r="K213" s="24" t="str">
        <x:v>Completed 2026-09-08: dashboards, scoped exports, tests, audit and documentation verified.</x:v>
      </x:c>
      <x:c r="L213" s="24" t="str">
        <x:v>2026-09-08</x:v>
      </x:c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☑</x:v>
      </x:c>
      <x:c r="K214" s="24" t="str">
        <x:v>Completed 2026-09-08: dashboards, scoped exports, tests, audit and documentation verified.</x:v>
      </x:c>
      <x:c r="L214" s="24" t="str">
        <x:v>2026-09-08</x:v>
      </x:c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☑</x:v>
      </x:c>
      <x:c r="K215" s="24" t="str">
        <x:v>Completed 2026-09-08: dashboards, scoped exports, tests, audit and documentation verified.</x:v>
      </x:c>
      <x:c r="L215" s="24" t="str">
        <x:v>2026-09-08</x:v>
      </x:c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☑</x:v>
      </x:c>
      <x:c r="K216" s="24" t="str">
        <x:v>Completed 2026-09-08: dashboards, scoped exports, tests, audit and documentation verified.</x:v>
      </x:c>
      <x:c r="L216" s="24" t="str">
        <x:v>2026-09-08</x:v>
      </x:c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☑</x:v>
      </x:c>
      <x:c r="K217" s="24" t="str">
        <x:v>Completed 2026-09-08: dashboards, scoped exports, tests, audit and documentation verified.</x:v>
      </x:c>
      <x:c r="L217" s="24" t="str">
        <x:v>2026-09-08</x:v>
      </x:c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☑</x:v>
      </x:c>
      <x:c r="K218" s="24" t="str">
        <x:v>Completed 2026-09-08: dashboards, scoped exports, tests, audit and documentation verified.</x:v>
      </x:c>
      <x:c r="L218" s="24" t="str">
        <x:v>2026-09-08</x:v>
      </x:c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☑</x:v>
      </x:c>
      <x:c r="K219" s="24" t="str">
        <x:v>Completed 2026-09-08: dashboards, scoped exports, tests, audit and documentation verified.</x:v>
      </x:c>
      <x:c r="L219" s="24" t="str">
        <x:v>2026-09-08</x:v>
      </x:c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☑</x:v>
      </x:c>
      <x:c r="K220" s="24" t="str">
        <x:v>Completed 2026-09-08: dashboards, scoped exports, tests, audit and documentation verified.</x:v>
      </x:c>
      <x:c r="L220" s="24" t="str">
        <x:v>2026-09-08</x:v>
      </x:c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☑</x:v>
      </x:c>
      <x:c r="K221" s="24" t="str">
        <x:v>Completed 2026-09-08: dashboards, scoped exports, tests, audit and documentation verified.</x:v>
      </x:c>
      <x:c r="L221" s="24" t="str">
        <x:v>2026-09-08</x:v>
      </x:c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☑</x:v>
      </x:c>
      <x:c r="K222" s="24" t="str">
        <x:v>Completed 2026-09-08: dashboards, scoped exports, tests, audit and documentation verified.</x:v>
      </x:c>
      <x:c r="L222" s="24" t="str">
        <x:v>2026-09-08</x:v>
      </x:c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☑</x:v>
      </x:c>
      <x:c r="K223" s="24" t="str">
        <x:v>Completed 2026-09-08: dashboards, scoped exports, tests, audit and documentation verified.</x:v>
      </x:c>
      <x:c r="L223" s="24" t="str">
        <x:v>2026-09-08</x:v>
      </x:c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