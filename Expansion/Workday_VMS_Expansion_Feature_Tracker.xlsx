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c6a6206dc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f43e9d8b91664b18"/>
    <x:sheet xmlns:r="http://schemas.openxmlformats.org/officeDocument/2006/relationships" name="Checklist" sheetId="2" r:id="Rf022cc1128dc46f1"/>
    <x:sheet xmlns:r="http://schemas.openxmlformats.org/officeDocument/2006/relationships" name="Dependencies" sheetId="3" r:id="R7b5a349ffea94c84"/>
    <x:sheet xmlns:r="http://schemas.openxmlformats.org/officeDocument/2006/relationships" name="Releases" sheetId="4" r:id="R402578cd02904479"/>
    <x:sheet xmlns:r="http://schemas.openxmlformats.org/officeDocument/2006/relationships" name="Legend" sheetId="5" r:id="R1954ff895cfe42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21c14b762542a0" /><Relationship Type="http://schemas.openxmlformats.org/officeDocument/2006/relationships/theme" Target="/xl/theme/theme1.xml" Id="R54591c9390f14aff" /><Relationship Type="http://schemas.openxmlformats.org/officeDocument/2006/relationships/sharedStrings" Target="/xl/sharedStrings.xml" Id="R8984102b898f4c77" /><Relationship Type="http://schemas.openxmlformats.org/officeDocument/2006/relationships/worksheet" Target="/xl/worksheets/sheet1.xml" Id="Rf43e9d8b91664b18" /><Relationship Type="http://schemas.openxmlformats.org/officeDocument/2006/relationships/worksheet" Target="/xl/worksheets/sheet2.xml" Id="Rf022cc1128dc46f1" /><Relationship Type="http://schemas.openxmlformats.org/officeDocument/2006/relationships/worksheet" Target="/xl/worksheets/sheet3.xml" Id="R7b5a349ffea94c84" /><Relationship Type="http://schemas.openxmlformats.org/officeDocument/2006/relationships/worksheet" Target="/xl/worksheets/sheet4.xml" Id="R402578cd02904479" /><Relationship Type="http://schemas.openxmlformats.org/officeDocument/2006/relationships/worksheet" Target="/xl/worksheets/sheet5.xml" Id="R1954ff895cfe42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0.16260162601626016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f>IFERROR(COUNTIFS(Checklist!$A$2:$A$400,A13,Checklist!$J$2:$J$400,"☑")/COUNTIF(Checklist!$A$2:$A$400,A13),0)</x:f>
        <x:v>0</x:v>
      </x:c>
      <x:c r="I13" s="24" t="str">
        <x:v>☐</x:v>
      </x:c>
      <x:c r="J13" s="24" t="str"/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f>IFERROR(COUNTIFS(Checklist!$A$2:$A$400,A14,Checklist!$J$2:$J$400,"☑")/COUNTIF(Checklist!$A$2:$A$400,A14),0)</x:f>
        <x:v>0</x:v>
      </x:c>
      <x:c r="I14" s="24" t="str">
        <x:v>☐</x:v>
      </x:c>
      <x:c r="J14" s="24" t="str"/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0</x:v>
      </x:c>
      <x:c r="I15" s="24" t="str">
        <x:v>☐</x:v>
      </x:c>
      <x:c r="J15" s="24" t="str"/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0</x:v>
      </x:c>
      <x:c r="I16" s="24" t="str">
        <x:v>☐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0</x:v>
      </x:c>
      <x:c r="I17" s="24" t="str">
        <x:v>☐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0</x:v>
      </x:c>
      <x:c r="I18" s="24" t="str">
        <x:v>☐</x:v>
      </x:c>
      <x:c r="J18" s="24" t="str"/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0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f>IFERROR(COUNTIFS(Checklist!$A$2:$A$400,A20,Checklist!$J$2:$J$400,"☑")/COUNTIF(Checklist!$A$2:$A$400,A20),0)</x:f>
        <x:v>0</x:v>
      </x:c>
      <x:c r="I20" s="24" t="str">
        <x:v>☐</x:v>
      </x:c>
      <x:c r="J20" s="24" t="str"/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f>IFERROR(COUNTIFS(Checklist!$A$2:$A$400,A21,Checklist!$J$2:$J$400,"☑")/COUNTIF(Checklist!$A$2:$A$400,A21),0)</x:f>
        <x:v>0</x:v>
      </x:c>
      <x:c r="I21" s="24" t="str">
        <x:v>☐</x:v>
      </x:c>
      <x:c r="J21" s="24" t="str"/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40</x:v>
      </x:c>
      <x:c r="C4" t="str">
        <x:v>Remaining</x:v>
      </x:c>
      <x:c r="D4" t="n">
        <x:f>COUNTA(G8:G400)-COUNTIF(J8:J400,"☑")</x:f>
        <x:v>205</x:v>
      </x:c>
    </x:row>
    <x:row r="5">
      <x:c r="A5" t="str">
        <x:v>Completion</x:v>
      </x:c>
      <x:c r="B5" s="14" t="n">
        <x:f>IFERROR(B4/COUNTA(G8:G400),0)</x:f>
        <x:v>0.16326530612244897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☐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☐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☐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☐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☐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☐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☐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☐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☐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☐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☐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☐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☐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☐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☐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☐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☐</x:v>
      </x:c>
      <x:c r="K64" s="24" t="str"/>
      <x:c r="L64" s="24"/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☐</x:v>
      </x:c>
      <x:c r="K65" s="24" t="str"/>
      <x:c r="L65" s="24"/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☐</x:v>
      </x:c>
      <x:c r="K66" s="24" t="str"/>
      <x:c r="L66" s="24"/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☐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☐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☐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☐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☐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☐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☐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☐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☐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☐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☐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☐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☐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☐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☐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☐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☐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☐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☐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☐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☐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☐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☐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☐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☐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☐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☐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☐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☐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☐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☐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☐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☐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☐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☐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☐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☐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☐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☐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☐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☐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☐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☐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☐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☐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☐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☐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☐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☐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☐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☐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☐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☐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☐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☐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☐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☐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☐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☐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☐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☐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☐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☐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☐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☐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☐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☐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☐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☐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☐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☐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☐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☐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☐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☐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☐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