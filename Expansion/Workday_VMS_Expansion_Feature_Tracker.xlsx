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28b79e4ce449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da264549d40d44ec"/>
    <x:sheet xmlns:r="http://schemas.openxmlformats.org/officeDocument/2006/relationships" name="Checklist" sheetId="2" r:id="R5db31af403954d1b"/>
    <x:sheet xmlns:r="http://schemas.openxmlformats.org/officeDocument/2006/relationships" name="Dependencies" sheetId="3" r:id="Rcbea06f832c34923"/>
    <x:sheet xmlns:r="http://schemas.openxmlformats.org/officeDocument/2006/relationships" name="Releases" sheetId="4" r:id="R0a5b932c22ee4d1d"/>
    <x:sheet xmlns:r="http://schemas.openxmlformats.org/officeDocument/2006/relationships" name="Legend" sheetId="5" r:id="R002746b1e24c4a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292b7d7cbb4778" /><Relationship Type="http://schemas.openxmlformats.org/officeDocument/2006/relationships/theme" Target="/xl/theme/theme1.xml" Id="R03ba60738c5f424a" /><Relationship Type="http://schemas.openxmlformats.org/officeDocument/2006/relationships/sharedStrings" Target="/xl/sharedStrings.xml" Id="R5c548c9243864c95" /><Relationship Type="http://schemas.openxmlformats.org/officeDocument/2006/relationships/worksheet" Target="/xl/worksheets/sheet1.xml" Id="Rda264549d40d44ec" /><Relationship Type="http://schemas.openxmlformats.org/officeDocument/2006/relationships/worksheet" Target="/xl/worksheets/sheet2.xml" Id="R5db31af403954d1b" /><Relationship Type="http://schemas.openxmlformats.org/officeDocument/2006/relationships/worksheet" Target="/xl/worksheets/sheet3.xml" Id="Rcbea06f832c34923" /><Relationship Type="http://schemas.openxmlformats.org/officeDocument/2006/relationships/worksheet" Target="/xl/worksheets/sheet4.xml" Id="R0a5b932c22ee4d1d" /><Relationship Type="http://schemas.openxmlformats.org/officeDocument/2006/relationships/worksheet" Target="/xl/worksheets/sheet5.xml" Id="R002746b1e24c4a0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0.5040650406504065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1</x:v>
      </x:c>
      <x:c r="I17" s="24" t="str">
        <x:v>☑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1</x:v>
      </x:c>
      <x:c r="I18" s="24" t="str">
        <x:v>☑</x:v>
      </x:c>
      <x:c r="J18" s="24" t="str">
        <x:v>Completed 2026-09-07: invitation-only existing-company membership, scoped Vendor relationships/project access, Vendor client directory/detail, audited revocation, and full regression verification.</x:v>
      </x:c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1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v>1</x:v>
      </x:c>
      <x:c r="I20" s="24" t="str">
        <x:v>☑</x:v>
      </x:c>
      <x:c r="J20" s="24" t="str">
        <x:v>Completed 2026-09-07: date-aware assignment scheduling, vendor/contractor availability, controlled release, UI, audit, migration, concurrency tests, and full regression verification.</x:v>
      </x:c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f>IFERROR(COUNTIFS(Checklist!$A$2:$A$400,A21,Checklist!$J$2:$J$400,"☑")/COUNTIF(Checklist!$A$2:$A$400,A21),0)</x:f>
        <x:v>0.09090909090909091</x:v>
      </x:c>
      <x:c r="I21" s="24" t="str">
        <x:v>☐</x:v>
      </x:c>
      <x:c r="J21" s="24" t="str"/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f>IFERROR(COUNTIFS(Checklist!$A$2:$A$400,A22,Checklist!$J$2:$J$400,"☑")/COUNTIF(Checklist!$A$2:$A$400,A22),0)</x:f>
        <x:v>0</x:v>
      </x:c>
      <x:c r="I22" s="24" t="str">
        <x:v>☐</x:v>
      </x:c>
      <x:c r="J22" s="24" t="str"/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f>IFERROR(COUNTIFS(Checklist!$A$2:$A$400,A23,Checklist!$J$2:$J$400,"☑")/COUNTIF(Checklist!$A$2:$A$400,A23),0)</x:f>
        <x:v>0</x:v>
      </x:c>
      <x:c r="I23" s="24" t="str">
        <x:v>☐</x:v>
      </x:c>
      <x:c r="J23" s="24" t="str"/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f>IFERROR(COUNTIFS(Checklist!$A$2:$A$400,A24,Checklist!$J$2:$J$400,"☑")/COUNTIF(Checklist!$A$2:$A$400,A24),0)</x:f>
        <x:v>0</x:v>
      </x:c>
      <x:c r="I24" s="24" t="str">
        <x:v>☐</x:v>
      </x:c>
      <x:c r="J24" s="24" t="str"/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f>IFERROR(COUNTIFS(Checklist!$A$2:$A$400,A25,Checklist!$J$2:$J$400,"☑")/COUNTIF(Checklist!$A$2:$A$400,A25),0)</x:f>
        <x:v>0</x:v>
      </x:c>
      <x:c r="I25" s="24" t="str">
        <x:v>☐</x:v>
      </x:c>
      <x:c r="J25" s="24" t="str"/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124</x:v>
      </x:c>
      <x:c r="C4" t="str">
        <x:v>Remaining</x:v>
      </x:c>
      <x:c r="D4" t="n">
        <x:f>COUNTA(G8:G400)-COUNTIF(J8:J400,"☑")</x:f>
        <x:v>121</x:v>
      </x:c>
    </x:row>
    <x:row r="5">
      <x:c r="A5" t="str">
        <x:v>Completion</x:v>
      </x:c>
      <x:c r="B5" s="14" t="n">
        <x:f>IFERROR(B4/COUNTA(G8:G400),0)</x:f>
        <x:v>0.5061224489795918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☑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☑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☑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☑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☑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☑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☑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☑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☑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☑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☑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☑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☑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☑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☑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☑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☑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☑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☑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☑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☑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☑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☑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☑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☑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☑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☑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☑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☑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☑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☑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☑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☑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☑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☑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☑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☑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☑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☑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☑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☑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☑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☑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☐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☐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☐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☐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☐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☐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☐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☐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☐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☐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☐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☐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☐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☐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☐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☐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☐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☐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☐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☐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☐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☐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☐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☐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☐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☐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☐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☐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☐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☐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☐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☐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☐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☐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☐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☐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☐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☐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☐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☐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☐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☐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☐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☐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☐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☐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☐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☐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