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7b7b99923149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fd7b76fc2ac1483e"/>
    <x:sheet xmlns:r="http://schemas.openxmlformats.org/officeDocument/2006/relationships" name="Checklist" sheetId="2" r:id="R714024923037499e"/>
    <x:sheet xmlns:r="http://schemas.openxmlformats.org/officeDocument/2006/relationships" name="Dependencies" sheetId="3" r:id="R24aa68ad6fc9499d"/>
    <x:sheet xmlns:r="http://schemas.openxmlformats.org/officeDocument/2006/relationships" name="Releases" sheetId="4" r:id="R9aeb08b4fd3342ef"/>
    <x:sheet xmlns:r="http://schemas.openxmlformats.org/officeDocument/2006/relationships" name="Legend" sheetId="5" r:id="R4c21bdbc0b4f4a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f6e53b51cf4459" /><Relationship Type="http://schemas.openxmlformats.org/officeDocument/2006/relationships/theme" Target="/xl/theme/theme1.xml" Id="Rc1b3df0743f5481e" /><Relationship Type="http://schemas.openxmlformats.org/officeDocument/2006/relationships/sharedStrings" Target="/xl/sharedStrings.xml" Id="Rb8afd476295a4c07" /><Relationship Type="http://schemas.openxmlformats.org/officeDocument/2006/relationships/worksheet" Target="/xl/worksheets/sheet1.xml" Id="Rfd7b76fc2ac1483e" /><Relationship Type="http://schemas.openxmlformats.org/officeDocument/2006/relationships/worksheet" Target="/xl/worksheets/sheet2.xml" Id="R714024923037499e" /><Relationship Type="http://schemas.openxmlformats.org/officeDocument/2006/relationships/worksheet" Target="/xl/worksheets/sheet3.xml" Id="R24aa68ad6fc9499d" /><Relationship Type="http://schemas.openxmlformats.org/officeDocument/2006/relationships/worksheet" Target="/xl/worksheets/sheet4.xml" Id="R9aeb08b4fd3342ef" /><Relationship Type="http://schemas.openxmlformats.org/officeDocument/2006/relationships/worksheet" Target="/xl/worksheets/sheet5.xml" Id="R4c21bdbc0b4f4aa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0.4186991869918699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0.09090909090909091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f>IFERROR(COUNTIFS(Checklist!$A$2:$A$400,A20,Checklist!$J$2:$J$400,"☑")/COUNTIF(Checklist!$A$2:$A$400,A20),0)</x:f>
        <x:v>0</x:v>
      </x:c>
      <x:c r="I20" s="24" t="str">
        <x:v>☐</x:v>
      </x:c>
      <x:c r="J20" s="24" t="str"/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f>IFERROR(COUNTIFS(Checklist!$A$2:$A$400,A21,Checklist!$J$2:$J$400,"☑")/COUNTIF(Checklist!$A$2:$A$400,A21),0)</x:f>
        <x:v>0</x:v>
      </x:c>
      <x:c r="I21" s="24" t="str">
        <x:v>☐</x:v>
      </x:c>
      <x:c r="J21" s="24" t="str"/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f>IFERROR(COUNTIFS(Checklist!$A$2:$A$400,A22,Checklist!$J$2:$J$400,"☑")/COUNTIF(Checklist!$A$2:$A$400,A22),0)</x:f>
        <x:v>0</x:v>
      </x:c>
      <x:c r="I22" s="24" t="str">
        <x:v>☐</x:v>
      </x:c>
      <x:c r="J22" s="24" t="str"/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103</x:v>
      </x:c>
      <x:c r="C4" t="str">
        <x:v>Remaining</x:v>
      </x:c>
      <x:c r="D4" t="n">
        <x:f>COUNTA(G8:G400)-COUNTIF(J8:J400,"☑")</x:f>
        <x:v>142</x:v>
      </x:c>
    </x:row>
    <x:row r="5">
      <x:c r="A5" t="str">
        <x:v>Completion</x:v>
      </x:c>
      <x:c r="B5" s="14" t="n">
        <x:f>IFERROR(B4/COUNTA(G8:G400),0)</x:f>
        <x:v>0.4204081632653061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☐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☐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☐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☐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☐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☐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☐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☐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☐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☐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☐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☐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☐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☐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☐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☐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☐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☐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☐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☐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☐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☐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☐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☐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☐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☐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☐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☐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☐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☐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☐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☐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☐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☐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☐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☐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☐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☐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☐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