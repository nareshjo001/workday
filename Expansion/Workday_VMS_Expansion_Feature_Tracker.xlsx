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44f2c512ef45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" sheetId="1" r:id="Rac9fb4be024b4d94"/>
    <x:sheet xmlns:r="http://schemas.openxmlformats.org/officeDocument/2006/relationships" name="Checklist" sheetId="2" r:id="R555afa77687d418f"/>
    <x:sheet xmlns:r="http://schemas.openxmlformats.org/officeDocument/2006/relationships" name="Dependencies" sheetId="3" r:id="R9471c1491a44403a"/>
    <x:sheet xmlns:r="http://schemas.openxmlformats.org/officeDocument/2006/relationships" name="Releases" sheetId="4" r:id="Rfc74ff4883bc4764"/>
    <x:sheet xmlns:r="http://schemas.openxmlformats.org/officeDocument/2006/relationships" name="Legend" sheetId="5" r:id="Re8b06af06a6047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4C5C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FF2E3"/>
        </x:patternFill>
      </x:fill>
    </x:dxf>
    <x:dxf>
      <x:font>
        <x:b/>
        <x:color rgb="FF166534"/>
      </x:font>
      <x:fill>
        <x:patternFill patternType="solid">
          <x:bgColor rgb="FFDFF2E3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b/>
        <x:color rgb="FF92400E"/>
      </x:font>
      <x:fill>
        <x:patternFill patternType="solid">
          <x:bgColor rgb="FFFFF3CD"/>
        </x:patternFill>
      </x:fill>
    </x:dxf>
    <x:dxf>
      <x:font>
        <x:b/>
        <x:color rgb="FF1F4E79"/>
      </x:font>
      <x:fill>
        <x:patternFill patternType="solid">
          <x:bgColor rgb="FFEAF3F6"/>
        </x:patternFill>
      </x:fill>
    </x:dxf>
    <x:dxf>
      <x:font>
        <x:b/>
        <x:color rgb="FF166534"/>
      </x:font>
      <x:fill>
        <x:patternFill patternType="solid">
          <x:bgColor rgb="FFDFF2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e9f1cbf604762" /><Relationship Type="http://schemas.openxmlformats.org/officeDocument/2006/relationships/theme" Target="/xl/theme/theme1.xml" Id="Rf39a6bb8af844c46" /><Relationship Type="http://schemas.openxmlformats.org/officeDocument/2006/relationships/sharedStrings" Target="/xl/sharedStrings.xml" Id="R596f7c1e37734485" /><Relationship Type="http://schemas.openxmlformats.org/officeDocument/2006/relationships/worksheet" Target="/xl/worksheets/sheet1.xml" Id="Rac9fb4be024b4d94" /><Relationship Type="http://schemas.openxmlformats.org/officeDocument/2006/relationships/worksheet" Target="/xl/worksheets/sheet2.xml" Id="R555afa77687d418f" /><Relationship Type="http://schemas.openxmlformats.org/officeDocument/2006/relationships/worksheet" Target="/xl/worksheets/sheet3.xml" Id="R9471c1491a44403a" /><Relationship Type="http://schemas.openxmlformats.org/officeDocument/2006/relationships/worksheet" Target="/xl/worksheets/sheet4.xml" Id="Rfc74ff4883bc4764" /><Relationship Type="http://schemas.openxmlformats.org/officeDocument/2006/relationships/worksheet" Target="/xl/worksheets/sheet5.xml" Id="Re8b06af06a6047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25" hidden="0" customWidth="1"/>
    <x:col min="4" max="4" width="10" hidden="0" customWidth="1"/>
    <x:col min="5" max="5" width="22" hidden="0" customWidth="1"/>
    <x:col min="6" max="6" width="9" hidden="0" customWidth="1"/>
    <x:col min="7" max="7" width="55" hidden="0" customWidth="1"/>
    <x:col min="8" max="8" width="14" hidden="0" customWidth="1"/>
    <x:col min="9" max="9" width="13" hidden="0" customWidth="1"/>
    <x:col min="10" max="10" width="28" hidden="0" customWidth="1"/>
  </x:cols>
  <x:sheetData>
    <x:row r="1" ht="30" customHeight="1">
      <x:c r="A1" s="5" t="str">
        <x:v>Workday VMS Expansion Roadmap - Module Tracker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1" t="str">
        <x:v>Summary</x:v>
      </x:c>
      <x:c r="B3" s="11" t="str">
        <x:v>Value</x:v>
      </x:c>
    </x:row>
    <x:row r="4">
      <x:c r="A4" t="str">
        <x:v>Total modules</x:v>
      </x:c>
      <x:c r="B4" t="n">
        <x:v>24</x:v>
      </x:c>
    </x:row>
    <x:row r="5">
      <x:c r="A5" t="str">
        <x:v>Total checklist items</x:v>
      </x:c>
      <x:c r="B5" t="n">
        <x:v>245</x:v>
      </x:c>
    </x:row>
    <x:row r="6">
      <x:c r="A6" t="str">
        <x:v>Overall completion</x:v>
      </x:c>
      <x:c r="B6" s="14" t="n">
        <x:f>IFERROR(COUNTIF(Checklist!$J$2:$J$400,"☑")/COUNTA(Checklist!$G$2:$G$400),0)</x:f>
        <x:v>0.08163265306122448</x:v>
      </x:c>
    </x:row>
    <x:row r="8" ht="15" hidden="0" customHeight="1">
      <x:c r="A8" s="19" t="str">
        <x:v>ID</x:v>
      </x:c>
      <x:c r="B8" s="19" t="str">
        <x:v>Module</x:v>
      </x:c>
      <x:c r="C8" s="19" t="str">
        <x:v>Phase</x:v>
      </x:c>
      <x:c r="D8" s="19" t="str">
        <x:v>Priority</x:v>
      </x:c>
      <x:c r="E8" s="19" t="str">
        <x:v>Dependencies</x:v>
      </x:c>
      <x:c r="F8" s="19" t="str">
        <x:v>Effort</x:v>
      </x:c>
      <x:c r="G8" s="19" t="str">
        <x:v>Primary outcome</x:v>
      </x:c>
      <x:c r="H8" s="19" t="str">
        <x:v>Completion</x:v>
      </x:c>
      <x:c r="I8" s="19" t="str">
        <x:v>Module Done</x:v>
      </x:c>
      <x:c r="J8" s="19" t="str">
        <x:v>Notes</x:v>
      </x:c>
    </x:row>
    <x:row r="9" ht="26.399999618530273" hidden="0" customHeight="1">
      <x:c r="A9" s="24" t="str">
        <x:v>M00</x:v>
      </x:c>
      <x:c r="B9" s="24" t="str">
        <x:v>Freeze Hackathon Baseline &amp; Repository Governance</x:v>
      </x:c>
      <x:c r="C9" s="24" t="str">
        <x:v>Phase A - Preserve &amp; harden</x:v>
      </x:c>
      <x:c r="D9" s="24" t="str">
        <x:v>P0</x:v>
      </x:c>
      <x:c r="E9" s="24" t="str">
        <x:v>None</x:v>
      </x:c>
      <x:c r="F9" s="24" t="str">
        <x:v>S</x:v>
      </x:c>
      <x:c r="G9" s="24" t="str">
        <x:v>Preserve the two-day hackathon result as a verifiable baseline, then make every post-hackathon change traceable and deliberate.</x:v>
      </x:c>
      <x:c r="H9" s="25" t="n">
        <x:f>IFERROR(COUNTIFS(Checklist!$A$2:$A$400,A9,Checklist!$J$2:$J$400,"☑")/COUNTIF(Checklist!$A$2:$A$400,A9),0)</x:f>
        <x:v>1</x:v>
      </x:c>
      <x:c r="I9" s="24" t="str">
        <x:v>☑</x:v>
      </x:c>
      <x:c r="J9" s="24" t="str">
        <x:v>Completed 2026-09-06: owner-created v1.0-hackathon points to 4bd5cd1.</x:v>
      </x:c>
    </x:row>
    <x:row r="10" ht="26.399999618530273" hidden="0" customHeight="1">
      <x:c r="A10" s="24" t="str">
        <x:v>M01</x:v>
      </x:c>
      <x:c r="B10" s="24" t="str">
        <x:v>Automated Regression Suite &amp; CI</x:v>
      </x:c>
      <x:c r="C10" s="24" t="str">
        <x:v>Phase A - Preserve &amp; harden</x:v>
      </x:c>
      <x:c r="D10" s="24" t="str">
        <x:v>P0</x:v>
      </x:c>
      <x:c r="E10" s="24" t="str">
        <x:v>M00</x:v>
      </x:c>
      <x:c r="F10" s="24" t="str">
        <x:v>M</x:v>
      </x:c>
      <x:c r="G10" s="24" t="str">
        <x:v>Turn the current ad-hoc live-server scripts into a repeatable safety net before changing business workflows.</x:v>
      </x:c>
      <x:c r="H10" s="25" t="n">
        <x:f>IFERROR(COUNTIFS(Checklist!$A$2:$A$400,A10,Checklist!$J$2:$J$400,"☑")/COUNTIF(Checklist!$A$2:$A$400,A10),0)</x:f>
        <x:v>1</x:v>
      </x:c>
      <x:c r="I10" s="24" t="str">
        <x:v>☑</x:v>
      </x:c>
      <x:c r="J10" s="24" t="str">
        <x:v>Completed 2026-09-06: automated regression, coverage, frontend tests, and CI added.</x:v>
      </x:c>
    </x:row>
    <x:row r="11" ht="26.399999618530273" hidden="0" customHeight="1">
      <x:c r="A11" s="24" t="str">
        <x:v>M02</x:v>
      </x:c>
      <x:c r="B11" s="24" t="str">
        <x:v>Authentication, Session &amp; Account Security Hardening</x:v>
      </x:c>
      <x:c r="C11" s="24" t="str">
        <x:v>Phase A - Preserve &amp; harden</x:v>
      </x:c>
      <x:c r="D11" s="24" t="str">
        <x:v>P0</x:v>
      </x:c>
      <x:c r="E11" s="24" t="str">
        <x:v>M01</x:v>
      </x:c>
      <x:c r="F11" s="24" t="str">
        <x:v>M</x:v>
      </x:c>
      <x:c r="G11" s="24" t="str">
        <x:v>Replace hackathon-grade authentication with a production-shaped session and account-recovery design.</x:v>
      </x:c>
      <x:c r="H11" s="25" t="n">
        <x:f>IFERROR(COUNTIFS(Checklist!$A$2:$A$400,A11,Checklist!$J$2:$J$400,"☑")/COUNTIF(Checklist!$A$2:$A$400,A11),0)</x:f>
        <x:v>0</x:v>
      </x:c>
      <x:c r="I11" s="24" t="str">
        <x:v>☐</x:v>
      </x:c>
      <x:c r="J11" s="24" t="str"/>
    </x:row>
    <x:row r="12" ht="26.399999618530273" hidden="0" customHeight="1">
      <x:c r="A12" s="24" t="str">
        <x:v>M03</x:v>
      </x:c>
      <x:c r="B12" s="24" t="str">
        <x:v>Structured Logging, Error Contracts &amp; Operational Health</x:v>
      </x:c>
      <x:c r="C12" s="24" t="str">
        <x:v>Phase A - Preserve &amp; harden</x:v>
      </x:c>
      <x:c r="D12" s="24" t="str">
        <x:v>P0</x:v>
      </x:c>
      <x:c r="E12" s="24" t="str">
        <x:v>M01</x:v>
      </x:c>
      <x:c r="F12" s="24" t="str">
        <x:v>S-M</x:v>
      </x:c>
      <x:c r="G12" s="24" t="str">
        <x:v>Make failures diagnosable without exposing internals to users.</x:v>
      </x:c>
      <x:c r="H12" s="25" t="n">
        <x:f>IFERROR(COUNTIFS(Checklist!$A$2:$A$400,A12,Checklist!$J$2:$J$400,"☑")/COUNTIF(Checklist!$A$2:$A$400,A12),0)</x:f>
        <x:v>0</x:v>
      </x:c>
      <x:c r="I12" s="24" t="str">
        <x:v>☐</x:v>
      </x:c>
      <x:c r="J12" s="24" t="str"/>
    </x:row>
    <x:row r="13" ht="15" hidden="0" customHeight="1">
      <x:c r="A13" s="24" t="str">
        <x:v>M04</x:v>
      </x:c>
      <x:c r="B13" s="24" t="str">
        <x:v>Transactional Audit Logging Foundation</x:v>
      </x:c>
      <x:c r="C13" s="24" t="str">
        <x:v>Phase A - Preserve &amp; harden</x:v>
      </x:c>
      <x:c r="D13" s="24" t="str">
        <x:v>P0</x:v>
      </x:c>
      <x:c r="E13" s="24" t="str">
        <x:v>M01,M03</x:v>
      </x:c>
      <x:c r="F13" s="24" t="str">
        <x:v>M</x:v>
      </x:c>
      <x:c r="G13" s="24" t="str">
        <x:v>Create a real who-did-what-when trail for business-critical state changes.</x:v>
      </x:c>
      <x:c r="H13" s="25" t="n">
        <x:f>IFERROR(COUNTIFS(Checklist!$A$2:$A$400,A13,Checklist!$J$2:$J$400,"☑")/COUNTIF(Checklist!$A$2:$A$400,A13),0)</x:f>
        <x:v>0</x:v>
      </x:c>
      <x:c r="I13" s="24" t="str">
        <x:v>☐</x:v>
      </x:c>
      <x:c r="J13" s="24" t="str"/>
    </x:row>
    <x:row r="14" ht="26.399999618530273" hidden="0" customHeight="1">
      <x:c r="A14" s="24" t="str">
        <x:v>M05</x:v>
      </x:c>
      <x:c r="B14" s="24" t="str">
        <x:v>API Scalability, Search/Filtering &amp; API Documentation</x:v>
      </x:c>
      <x:c r="C14" s="24" t="str">
        <x:v>Phase A - Preserve &amp; harden</x:v>
      </x:c>
      <x:c r="D14" s="24" t="str">
        <x:v>P0</x:v>
      </x:c>
      <x:c r="E14" s="24" t="str">
        <x:v>M01,M03</x:v>
      </x:c>
      <x:c r="F14" s="24" t="str">
        <x:v>M</x:v>
      </x:c>
      <x:c r="G14" s="24" t="str">
        <x:v>Make list endpoints scale beyond demo data and make the API contract explicit.</x:v>
      </x:c>
      <x:c r="H14" s="25" t="n">
        <x:f>IFERROR(COUNTIFS(Checklist!$A$2:$A$400,A14,Checklist!$J$2:$J$400,"☑")/COUNTIF(Checklist!$A$2:$A$400,A14),0)</x:f>
        <x:v>0</x:v>
      </x:c>
      <x:c r="I14" s="24" t="str">
        <x:v>☐</x:v>
      </x:c>
      <x:c r="J14" s="24" t="str"/>
    </x:row>
    <x:row r="15" ht="26.399999618530273" hidden="0" customHeight="1">
      <x:c r="A15" s="24" t="str">
        <x:v>M06</x:v>
      </x:c>
      <x:c r="B15" s="24" t="str">
        <x:v>Timesheet Workflow Completion</x:v>
      </x:c>
      <x:c r="C15" s="24" t="str">
        <x:v>Phase B - Workforce operations</x:v>
      </x:c>
      <x:c r="D15" s="24" t="str">
        <x:v>P1</x:v>
      </x:c>
      <x:c r="E15" s="24" t="str">
        <x:v>M01,M04,M05</x:v>
      </x:c>
      <x:c r="F15" s="24" t="str">
        <x:v>L</x:v>
      </x:c>
      <x:c r="G15" s="24" t="str">
        <x:v>Complete the contractor -&gt; submit -&gt; PM review -&gt; reject with reason -&gt; correct -&gt; resubmit workflow while preserving daily-row accuracy.</x:v>
      </x:c>
      <x:c r="H15" s="25" t="n">
        <x:f>IFERROR(COUNTIFS(Checklist!$A$2:$A$400,A15,Checklist!$J$2:$J$400,"☑")/COUNTIF(Checklist!$A$2:$A$400,A15),0)</x:f>
        <x:v>0</x:v>
      </x:c>
      <x:c r="I15" s="24" t="str">
        <x:v>☐</x:v>
      </x:c>
      <x:c r="J15" s="24" t="str"/>
    </x:row>
    <x:row r="16" ht="26.399999618530273" hidden="0" customHeight="1">
      <x:c r="A16" s="24" t="str">
        <x:v>M07</x:v>
      </x:c>
      <x:c r="B16" s="24" t="str">
        <x:v>Contractor Profile &amp; Multi-Skill Model</x:v>
      </x:c>
      <x:c r="C16" s="24" t="str">
        <x:v>Phase B - Workforce operations</x:v>
      </x:c>
      <x:c r="D16" s="24" t="str">
        <x:v>P1</x:v>
      </x:c>
      <x:c r="E16" s="24" t="str">
        <x:v>M01,M05</x:v>
      </x:c>
      <x:c r="F16" s="24" t="str">
        <x:v>L</x:v>
      </x:c>
      <x:c r="G16" s="24" t="str">
        <x:v>Move from one hard-coded skill enum to a credible contractor profile used by staffing decisions.</x:v>
      </x:c>
      <x:c r="H16" s="25" t="n">
        <x:f>IFERROR(COUNTIFS(Checklist!$A$2:$A$400,A16,Checklist!$J$2:$J$400,"☑")/COUNTIF(Checklist!$A$2:$A$400,A16),0)</x:f>
        <x:v>0</x:v>
      </x:c>
      <x:c r="I16" s="24" t="str">
        <x:v>☐</x:v>
      </x:c>
      <x:c r="J16" s="24" t="str"/>
    </x:row>
    <x:row r="17" ht="26.399999618530273" hidden="0" customHeight="1">
      <x:c r="A17" s="24" t="str">
        <x:v>M08</x:v>
      </x:c>
      <x:c r="B17" s="24" t="str">
        <x:v>Contractor Document Verification &amp; Compliance Gate</x:v>
      </x:c>
      <x:c r="C17" s="24" t="str">
        <x:v>Phase B - Workforce operations</x:v>
      </x:c>
      <x:c r="D17" s="24" t="str">
        <x:v>P1</x:v>
      </x:c>
      <x:c r="E17" s="24" t="str">
        <x:v>M04,M07</x:v>
      </x:c>
      <x:c r="F17" s="24" t="str">
        <x:v>L</x:v>
      </x:c>
      <x:c r="G17" s="24" t="str">
        <x:v>Implement document upload/review and prevent unverified contractors from being staffed.</x:v>
      </x:c>
      <x:c r="H17" s="25" t="n">
        <x:f>IFERROR(COUNTIFS(Checklist!$A$2:$A$400,A17,Checklist!$J$2:$J$400,"☑")/COUNTIF(Checklist!$A$2:$A$400,A17),0)</x:f>
        <x:v>0</x:v>
      </x:c>
      <x:c r="I17" s="24" t="str">
        <x:v>☐</x:v>
      </x:c>
      <x:c r="J17" s="24" t="str"/>
    </x:row>
    <x:row r="18" ht="26.399999618530273" hidden="0" customHeight="1">
      <x:c r="A18" s="24" t="str">
        <x:v>M09</x:v>
      </x:c>
      <x:c r="B18" s="24" t="str">
        <x:v>Client Management, Vendor-Client Relationships &amp; Project Visibility</x:v>
      </x:c>
      <x:c r="C18" s="24" t="str">
        <x:v>Phase B - Workforce operations</x:v>
      </x:c>
      <x:c r="D18" s="24" t="str">
        <x:v>P1</x:v>
      </x:c>
      <x:c r="E18" s="24" t="str">
        <x:v>M02,M04,M05</x:v>
      </x:c>
      <x:c r="F18" s="24" t="str">
        <x:v>L</x:v>
      </x:c>
      <x:c r="G18" s="24" t="str">
        <x:v>Turn client companies into an explicit business relationship and stop every vendor from seeing/staffing every project.</x:v>
      </x:c>
      <x:c r="H18" s="25" t="n">
        <x:f>IFERROR(COUNTIFS(Checklist!$A$2:$A$400,A18,Checklist!$J$2:$J$400,"☑")/COUNTIF(Checklist!$A$2:$A$400,A18),0)</x:f>
        <x:v>0</x:v>
      </x:c>
      <x:c r="I18" s="24" t="str">
        <x:v>☐</x:v>
      </x:c>
      <x:c r="J18" s="24" t="str"/>
    </x:row>
    <x:row r="19" ht="26.399999618530273" hidden="0" customHeight="1">
      <x:c r="A19" s="24" t="str">
        <x:v>M10</x:v>
      </x:c>
      <x:c r="B19" s="24" t="str">
        <x:v>Project, Requirement, Budget &amp; Time-Policy Lifecycle</x:v>
      </x:c>
      <x:c r="C19" s="24" t="str">
        <x:v>Phase B - Workforce operations</x:v>
      </x:c>
      <x:c r="D19" s="24" t="str">
        <x:v>P1</x:v>
      </x:c>
      <x:c r="E19" s="24" t="str">
        <x:v>M04,M09</x:v>
      </x:c>
      <x:c r="F19" s="24" t="str">
        <x:v>L</x:v>
      </x:c>
      <x:c r="G19" s="24" t="str">
        <x:v>Allow projects and staffing requirements to evolve safely after creation and add the missing commercial/time-policy fields.</x:v>
      </x:c>
      <x:c r="H19" s="25" t="n">
        <x:f>IFERROR(COUNTIFS(Checklist!$A$2:$A$400,A19,Checklist!$J$2:$J$400,"☑")/COUNTIF(Checklist!$A$2:$A$400,A19),0)</x:f>
        <x:v>0</x:v>
      </x:c>
      <x:c r="I19" s="24" t="str">
        <x:v>☐</x:v>
      </x:c>
      <x:c r="J19" s="24" t="str"/>
    </x:row>
    <x:row r="20" ht="26.399999618530273" hidden="0" customHeight="1">
      <x:c r="A20" s="24" t="str">
        <x:v>M11</x:v>
      </x:c>
      <x:c r="B20" s="24" t="str">
        <x:v>Contractor Availability &amp; Date-Based Assignment Lifecycle</x:v>
      </x:c>
      <x:c r="C20" s="24" t="str">
        <x:v>Phase B - Workforce operations</x:v>
      </x:c>
      <x:c r="D20" s="24" t="str">
        <x:v>P1</x:v>
      </x:c>
      <x:c r="E20" s="24" t="str">
        <x:v>M07,M08,M10</x:v>
      </x:c>
      <x:c r="F20" s="24" t="str">
        <x:v>L</x:v>
      </x:c>
      <x:c r="G20" s="24" t="str">
        <x:v>Replace the global one-ACTIVE-assignment rule with date-aware availability and controlled individual release.</x:v>
      </x:c>
      <x:c r="H20" s="25" t="n">
        <x:f>IFERROR(COUNTIFS(Checklist!$A$2:$A$400,A20,Checklist!$J$2:$J$400,"☑")/COUNTIF(Checklist!$A$2:$A$400,A20),0)</x:f>
        <x:v>0</x:v>
      </x:c>
      <x:c r="I20" s="24" t="str">
        <x:v>☐</x:v>
      </x:c>
      <x:c r="J20" s="24" t="str"/>
    </x:row>
    <x:row r="21" ht="26.399999618530273" hidden="0" customHeight="1">
      <x:c r="A21" s="24" t="str">
        <x:v>M12</x:v>
      </x:c>
      <x:c r="B21" s="24" t="str">
        <x:v>Candidate Submission -&gt; PM Acceptance Workflow</x:v>
      </x:c>
      <x:c r="C21" s="24" t="str">
        <x:v>Phase B - Workforce operations</x:v>
      </x:c>
      <x:c r="D21" s="24" t="str">
        <x:v>P1</x:v>
      </x:c>
      <x:c r="E21" s="24" t="str">
        <x:v>M09,M11</x:v>
      </x:c>
      <x:c r="F21" s="24" t="str">
        <x:v>L</x:v>
      </x:c>
      <x:c r="G21" s="24" t="str">
        <x:v>Replace direct vendor assignment with a realistic propose-review-accept staffing flow.</x:v>
      </x:c>
      <x:c r="H21" s="25" t="n">
        <x:f>IFERROR(COUNTIFS(Checklist!$A$2:$A$400,A21,Checklist!$J$2:$J$400,"☑")/COUNTIF(Checklist!$A$2:$A$400,A21),0)</x:f>
        <x:v>0</x:v>
      </x:c>
      <x:c r="I21" s="24" t="str">
        <x:v>☐</x:v>
      </x:c>
      <x:c r="J21" s="24" t="str"/>
    </x:row>
    <x:row r="22" ht="26.399999618530273" hidden="0" customHeight="1">
      <x:c r="A22" s="24" t="str">
        <x:v>M13</x:v>
      </x:c>
      <x:c r="B22" s="24" t="str">
        <x:v>Staffing Pipeline, Approval SLA &amp; Escalation</x:v>
      </x:c>
      <x:c r="C22" s="24" t="str">
        <x:v>Phase B - Workforce operations</x:v>
      </x:c>
      <x:c r="D22" s="24" t="str">
        <x:v>P1</x:v>
      </x:c>
      <x:c r="E22" s="24" t="str">
        <x:v>M12,M10</x:v>
      </x:c>
      <x:c r="F22" s="24" t="str">
        <x:v>M</x:v>
      </x:c>
      <x:c r="G22" s="24" t="str">
        <x:v>Turn candidate records into operational staffing visibility and highlight items waiting too long.</x:v>
      </x:c>
      <x:c r="H22" s="25" t="n">
        <x:f>IFERROR(COUNTIFS(Checklist!$A$2:$A$400,A22,Checklist!$J$2:$J$400,"☑")/COUNTIF(Checklist!$A$2:$A$400,A22),0)</x:f>
        <x:v>0</x:v>
      </x:c>
      <x:c r="I22" s="24" t="str">
        <x:v>☐</x:v>
      </x:c>
      <x:c r="J22" s="24" t="str"/>
    </x:row>
    <x:row r="23" ht="26.399999618530273" hidden="0" customHeight="1">
      <x:c r="A23" s="24" t="str">
        <x:v>M14</x:v>
      </x:c>
      <x:c r="B23" s="24" t="str">
        <x:v>In-App Notifications &amp; Preferences</x:v>
      </x:c>
      <x:c r="C23" s="24" t="str">
        <x:v>Phase B - Workforce operations</x:v>
      </x:c>
      <x:c r="D23" s="24" t="str">
        <x:v>P1</x:v>
      </x:c>
      <x:c r="E23" s="24" t="str">
        <x:v>M06,M12,M13</x:v>
      </x:c>
      <x:c r="F23" s="24" t="str">
        <x:v>M</x:v>
      </x:c>
      <x:c r="G23" s="24" t="str">
        <x:v>Notify the right role when another role creates work that needs attention.</x:v>
      </x:c>
      <x:c r="H23" s="25" t="n">
        <x:f>IFERROR(COUNTIFS(Checklist!$A$2:$A$400,A23,Checklist!$J$2:$J$400,"☑")/COUNTIF(Checklist!$A$2:$A$400,A23),0)</x:f>
        <x:v>0</x:v>
      </x:c>
      <x:c r="I23" s="24" t="str">
        <x:v>☐</x:v>
      </x:c>
      <x:c r="J23" s="24" t="str"/>
    </x:row>
    <x:row r="24" ht="26.399999618530273" hidden="0" customHeight="1">
      <x:c r="A24" s="24" t="str">
        <x:v>M15</x:v>
      </x:c>
      <x:c r="B24" s="24" t="str">
        <x:v>Rate Cards, Assignment Rate Snapshots &amp; Rate History</x:v>
      </x:c>
      <x:c r="C24" s="24" t="str">
        <x:v>Phase C - Commercial lifecycle</x:v>
      </x:c>
      <x:c r="D24" s="24" t="str">
        <x:v>P1</x:v>
      </x:c>
      <x:c r="E24" s="24" t="str">
        <x:v>M09,M11</x:v>
      </x:c>
      <x:c r="F24" s="24" t="str">
        <x:v>L</x:v>
      </x:c>
      <x:c r="G24" s="24" t="str">
        <x:v>Separate commercial client bill rates from contractor cost/default rates and make rate changes historically safe.</x:v>
      </x:c>
      <x:c r="H24" s="25" t="n">
        <x:f>IFERROR(COUNTIFS(Checklist!$A$2:$A$400,A24,Checklist!$J$2:$J$400,"☑")/COUNTIF(Checklist!$A$2:$A$400,A24),0)</x:f>
        <x:v>0</x:v>
      </x:c>
      <x:c r="I24" s="24" t="str">
        <x:v>☐</x:v>
      </x:c>
      <x:c r="J24" s="24" t="str"/>
    </x:row>
    <x:row r="25" ht="26.399999618530273" hidden="0" customHeight="1">
      <x:c r="A25" s="24" t="str">
        <x:v>M16</x:v>
      </x:c>
      <x:c r="B25" s="24" t="str">
        <x:v>Milestone Management Enhancement</x:v>
      </x:c>
      <x:c r="C25" s="24" t="str">
        <x:v>Phase C - Commercial lifecycle</x:v>
      </x:c>
      <x:c r="D25" s="24" t="str">
        <x:v>P1</x:v>
      </x:c>
      <x:c r="E25" s="24" t="str">
        <x:v>M06,M10,M15</x:v>
      </x:c>
      <x:c r="F25" s="24" t="str">
        <x:v>M</x:v>
      </x:c>
      <x:c r="G25" s="24" t="str">
        <x:v>Keep the proven project-wide hours trigger while making milestones understandable and operationally manageable.</x:v>
      </x:c>
      <x:c r="H25" s="25" t="n">
        <x:f>IFERROR(COUNTIFS(Checklist!$A$2:$A$400,A25,Checklist!$J$2:$J$400,"☑")/COUNTIF(Checklist!$A$2:$A$400,A25),0)</x:f>
        <x:v>0</x:v>
      </x:c>
      <x:c r="I25" s="24" t="str">
        <x:v>☐</x:v>
      </x:c>
      <x:c r="J25" s="24" t="str"/>
    </x:row>
    <x:row r="26" ht="39.599998474121094" hidden="0" customHeight="1">
      <x:c r="A26" s="24" t="str">
        <x:v>M17</x:v>
      </x:c>
      <x:c r="B26" s="24" t="str">
        <x:v>Invoice Lifecycle Redesign: Billing Queue -&gt; Vendor Draft -&gt; Client Approval</x:v>
      </x:c>
      <x:c r="C26" s="24" t="str">
        <x:v>Phase C - Commercial lifecycle</x:v>
      </x:c>
      <x:c r="D26" s="24" t="str">
        <x:v>P1</x:v>
      </x:c>
      <x:c r="E26" s="24" t="str">
        <x:v>M09,M15,M16,M01</x:v>
      </x:c>
      <x:c r="F26" s="24" t="str">
        <x:v>XL</x:v>
      </x:c>
      <x:c r="G26" s="24" t="str">
        <x:v>Correct the commercial ownership model: milestones create billing eligibility; Vendor creates/submits an invoice; Client/PM approves or rejects it.</x:v>
      </x:c>
      <x:c r="H26" s="25" t="n">
        <x:f>IFERROR(COUNTIFS(Checklist!$A$2:$A$400,A26,Checklist!$J$2:$J$400,"☑")/COUNTIF(Checklist!$A$2:$A$400,A26),0)</x:f>
        <x:v>0</x:v>
      </x:c>
      <x:c r="I26" s="24" t="str">
        <x:v>☐</x:v>
      </x:c>
      <x:c r="J26" s="24" t="str"/>
    </x:row>
    <x:row r="27" ht="26.399999618530273" hidden="0" customHeight="1">
      <x:c r="A27" s="24" t="str">
        <x:v>M18</x:v>
      </x:c>
      <x:c r="B27" s="24" t="str">
        <x:v>Invoice Numbers, Line Items, Tax &amp; PDF Document</x:v>
      </x:c>
      <x:c r="C27" s="24" t="str">
        <x:v>Phase C - Commercial lifecycle</x:v>
      </x:c>
      <x:c r="D27" s="24" t="str">
        <x:v>P1</x:v>
      </x:c>
      <x:c r="E27" s="24" t="str">
        <x:v>M17</x:v>
      </x:c>
      <x:c r="F27" s="24" t="str">
        <x:v>L</x:v>
      </x:c>
      <x:c r="G27" s="24" t="str">
        <x:v>Make an approved/submitted invoice a real business document rather than a JSON row.</x:v>
      </x:c>
      <x:c r="H27" s="25" t="n">
        <x:f>IFERROR(COUNTIFS(Checklist!$A$2:$A$400,A27,Checklist!$J$2:$J$400,"☑")/COUNTIF(Checklist!$A$2:$A$400,A27),0)</x:f>
        <x:v>0</x:v>
      </x:c>
      <x:c r="I27" s="24" t="str">
        <x:v>☐</x:v>
      </x:c>
      <x:c r="J27" s="24" t="str"/>
    </x:row>
    <x:row r="28" ht="26.399999618530273" hidden="0" customHeight="1">
      <x:c r="A28" s="24" t="str">
        <x:v>M19</x:v>
      </x:c>
      <x:c r="B28" s="24" t="str">
        <x:v>Payment &amp; Outstanding Tracking</x:v>
      </x:c>
      <x:c r="C28" s="24" t="str">
        <x:v>Phase C - Commercial lifecycle</x:v>
      </x:c>
      <x:c r="D28" s="24" t="str">
        <x:v>P1</x:v>
      </x:c>
      <x:c r="E28" s="24" t="str">
        <x:v>M17,M18</x:v>
      </x:c>
      <x:c r="F28" s="24" t="str">
        <x:v>M</x:v>
      </x:c>
      <x:c r="G28" s="24" t="str">
        <x:v>Separate client approval from actual payment and expose outstanding/overdue money.</x:v>
      </x:c>
      <x:c r="H28" s="25" t="n">
        <x:f>IFERROR(COUNTIFS(Checklist!$A$2:$A$400,A28,Checklist!$J$2:$J$400,"☑")/COUNTIF(Checklist!$A$2:$A$400,A28),0)</x:f>
        <x:v>0</x:v>
      </x:c>
      <x:c r="I28" s="24" t="str">
        <x:v>☐</x:v>
      </x:c>
      <x:c r="J28" s="24" t="str"/>
    </x:row>
    <x:row r="29" ht="26.399999618530273" hidden="0" customHeight="1">
      <x:c r="A29" s="24" t="str">
        <x:v>M20</x:v>
      </x:c>
      <x:c r="B29" s="24" t="str">
        <x:v>Business Dashboards, Financial Health &amp; CSV Exports</x:v>
      </x:c>
      <x:c r="C29" s="24" t="str">
        <x:v>Phase C - Commercial lifecycle</x:v>
      </x:c>
      <x:c r="D29" s="24" t="str">
        <x:v>P2</x:v>
      </x:c>
      <x:c r="E29" s="24" t="str">
        <x:v>M05,M10,M13,M15,M19</x:v>
      </x:c>
      <x:c r="F29" s="24" t="str">
        <x:v>L</x:v>
      </x:c>
      <x:c r="G29" s="24" t="str">
        <x:v>Make dashboards reflect the full workforce/commercial lifecycle with precise terminology and exportable operational data.</x:v>
      </x:c>
      <x:c r="H29" s="25" t="n">
        <x:f>IFERROR(COUNTIFS(Checklist!$A$2:$A$400,A29,Checklist!$J$2:$J$400,"☑")/COUNTIF(Checklist!$A$2:$A$400,A29),0)</x:f>
        <x:v>0</x:v>
      </x:c>
      <x:c r="I29" s="24" t="str">
        <x:v>☐</x:v>
      </x:c>
      <x:c r="J29" s="24" t="str"/>
    </x:row>
    <x:row r="30" ht="26.399999618530273" hidden="0" customHeight="1">
      <x:c r="A30" s="24" t="str">
        <x:v>M21</x:v>
      </x:c>
      <x:c r="B30" s="24" t="str">
        <x:v>Contractor Offboarding, History &amp; Project Close Safeguards</x:v>
      </x:c>
      <x:c r="C30" s="24" t="str">
        <x:v>Phase D - Portfolio-grade operations</x:v>
      </x:c>
      <x:c r="D30" s="24" t="str">
        <x:v>P2</x:v>
      </x:c>
      <x:c r="E30" s="24" t="str">
        <x:v>M11,M19,M04</x:v>
      </x:c>
      <x:c r="F30" s="24" t="str">
        <x:v>M</x:v>
      </x:c>
      <x:c r="G30" s="24" t="str">
        <x:v>Close assignments/projects cleanly without losing historical workforce or billing records.</x:v>
      </x:c>
      <x:c r="H30" s="25" t="n">
        <x:f>IFERROR(COUNTIFS(Checklist!$A$2:$A$400,A30,Checklist!$J$2:$J$400,"☑")/COUNTIF(Checklist!$A$2:$A$400,A30),0)</x:f>
        <x:v>0</x:v>
      </x:c>
      <x:c r="I30" s="24" t="str">
        <x:v>☐</x:v>
      </x:c>
      <x:c r="J30" s="24" t="str"/>
    </x:row>
    <x:row r="31" ht="26.399999618530273" hidden="0" customHeight="1">
      <x:c r="A31" s="24" t="str">
        <x:v>M22</x:v>
      </x:c>
      <x:c r="B31" s="24" t="str">
        <x:v>Production Deployment, Backup, Security &amp; Demo Environment</x:v>
      </x:c>
      <x:c r="C31" s="24" t="str">
        <x:v>Phase D - Portfolio-grade operations</x:v>
      </x:c>
      <x:c r="D31" s="24" t="str">
        <x:v>P2</x:v>
      </x:c>
      <x:c r="E31" s="24" t="str">
        <x:v>M01,M02,M03,M20</x:v>
      </x:c>
      <x:c r="F31" s="24" t="str">
        <x:v>L</x:v>
      </x:c>
      <x:c r="G31" s="24" t="str">
        <x:v>Make the expanded system reproducible and demonstrable outside the development machine.</x:v>
      </x:c>
      <x:c r="H31" s="25" t="n">
        <x:f>IFERROR(COUNTIFS(Checklist!$A$2:$A$400,A31,Checklist!$J$2:$J$400,"☑")/COUNTIF(Checklist!$A$2:$A$400,A31),0)</x:f>
        <x:v>0</x:v>
      </x:c>
      <x:c r="I31" s="24" t="str">
        <x:v>☐</x:v>
      </x:c>
      <x:c r="J31" s="24" t="str"/>
    </x:row>
    <x:row r="32" ht="26.399999618530273" hidden="0" customHeight="1">
      <x:c r="A32" s="24" t="str">
        <x:v>M23</x:v>
      </x:c>
      <x:c r="B32" s="24" t="str">
        <x:v>Final Architecture Audit, Release &amp; Internship Story</x:v>
      </x:c>
      <x:c r="C32" s="24" t="str">
        <x:v>Phase D - Portfolio-grade operations</x:v>
      </x:c>
      <x:c r="D32" s="24" t="str">
        <x:v>P2</x:v>
      </x:c>
      <x:c r="E32" s="24" t="str">
        <x:v>M00-M22</x:v>
      </x:c>
      <x:c r="F32" s="24" t="str">
        <x:v>M</x:v>
      </x:c>
      <x:c r="G32" s="24" t="str">
        <x:v>Validate that the expanded platform is coherent, tested and explainable, then cut a portfolio release.</x:v>
      </x:c>
      <x:c r="H32" s="25" t="n">
        <x:f>IFERROR(COUNTIFS(Checklist!$A$2:$A$400,A32,Checklist!$J$2:$J$400,"☑")/COUNTIF(Checklist!$A$2:$A$400,A32),0)</x:f>
        <x:v>0</x:v>
      </x:c>
      <x:c r="I32" s="24" t="str">
        <x:v>☐</x:v>
      </x:c>
      <x:c r="J32" s="24" t="str"/>
    </x:row>
  </x:sheetData>
  <x:mergeCells>
    <x:mergeCell ref="A1:J1"/>
  </x:mergeCells>
  <x:conditionalFormatting sqref="I9:I32">
    <x:cfRule type="expression" dxfId="0" priority="1">
      <x:formula>I9="☑"</x:formula>
    </x:cfRule>
  </x:conditionalFormatting>
  <x:conditionalFormatting sqref="H9:H32">
    <x:cfRule type="dataBar" priority="2">
      <x:dataBar>
        <x:cfvo type="min"/>
        <x:cfvo type="max"/>
        <x:color rgb="FF1F4E79"/>
      </x:dataBar>
      <x:extLst>
        <x:ext xmlns:x14="http://schemas.microsoft.com/office/spreadsheetml/2009/9/main" uri="{B025F937-C7B1-47D3-B67F-A62EFF666E3E}">
          <x14:id>{D28431E4-EFC0-73BF-ED44-3C635EDBA5F5}</x14:id>
        </x:ext>
      </x:extLst>
    </x:cfRule>
  </x:conditionalFormatting>
  <x:dataValidations count="1">
    <x:dataValidation type="list" sqref="I9:I32">
      <x:formula1>"☐,☑"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D28431E4-EFC0-73BF-ED44-3C635EDBA5F5}">
            <x14:dataBar gradient="1">
              <x14:cfvo type="min"/>
              <x14:cfvo type="max"/>
              <x14:fillColor rgb="FF1F4E79"/>
            </x14:dataBar>
          </x14:cfRule>
          <xm:sqref>H9:H32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26" hidden="0" customWidth="1"/>
    <x:col min="4" max="4" width="9" hidden="0" customWidth="1"/>
    <x:col min="5" max="5" width="15" hidden="0" customWidth="1"/>
    <x:col min="6" max="6" width="20" hidden="0" customWidth="1"/>
    <x:col min="7" max="7" width="68" hidden="0" customWidth="1"/>
    <x:col min="8" max="8" width="22" hidden="0" customWidth="1"/>
    <x:col min="9" max="9" width="18" hidden="0" customWidth="1"/>
    <x:col min="10" max="10" width="9" hidden="0" customWidth="1"/>
    <x:col min="11" max="11" width="32" hidden="0" customWidth="1"/>
    <x:col min="12" max="12" width="15" hidden="0" customWidth="1"/>
  </x:cols>
  <x:sheetData>
    <x:row r="1">
      <x:c r="A1" s="29" t="str">
        <x:v>Detailed Implementation &amp; Acceptance Checklist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</x:row>
    <x:row r="3">
      <x:c r="A3" s="11" t="str">
        <x:v>Tracker</x:v>
      </x:c>
      <x:c r="B3" s="11" t="str">
        <x:v>Value</x:v>
      </x:c>
      <x:c r="C3" s="11" t="str"/>
      <x:c r="D3" s="11" t="str"/>
    </x:row>
    <x:row r="4">
      <x:c r="A4" t="str">
        <x:v>Completed</x:v>
      </x:c>
      <x:c r="B4" t="n">
        <x:f>COUNTIF(J8:J400,"☑")</x:f>
        <x:v>20</x:v>
      </x:c>
      <x:c r="C4" t="str">
        <x:v>Remaining</x:v>
      </x:c>
      <x:c r="D4" t="n">
        <x:f>COUNTA(G8:G400)-COUNTIF(J8:J400,"☑")</x:f>
        <x:v>225</x:v>
      </x:c>
    </x:row>
    <x:row r="5">
      <x:c r="A5" t="str">
        <x:v>Completion</x:v>
      </x:c>
      <x:c r="B5" s="14" t="n">
        <x:f>IFERROR(B4/COUNTA(G8:G400),0)</x:f>
        <x:v>0.08163265306122448</x:v>
      </x:c>
      <x:c r="C5" t="str"/>
      <x:c r="D5" t="str"/>
    </x:row>
    <x:row r="7" ht="15" hidden="0" customHeight="1">
      <x:c r="A7" s="19" t="str">
        <x:v>Module ID</x:v>
      </x:c>
      <x:c r="B7" s="19" t="str">
        <x:v>Module</x:v>
      </x:c>
      <x:c r="C7" s="19" t="str">
        <x:v>Phase</x:v>
      </x:c>
      <x:c r="D7" s="19" t="str">
        <x:v>Priority</x:v>
      </x:c>
      <x:c r="E7" s="19" t="str">
        <x:v>Type</x:v>
      </x:c>
      <x:c r="F7" s="19" t="str">
        <x:v>Area</x:v>
      </x:c>
      <x:c r="G7" s="19" t="str">
        <x:v>Task</x:v>
      </x:c>
      <x:c r="H7" s="19" t="str">
        <x:v>Dependencies</x:v>
      </x:c>
      <x:c r="I7" s="19" t="str">
        <x:v>Owner</x:v>
      </x:c>
      <x:c r="J7" s="19" t="str">
        <x:v>Done</x:v>
      </x:c>
      <x:c r="K7" s="19" t="str">
        <x:v>Notes</x:v>
      </x:c>
      <x:c r="L7" s="19" t="str">
        <x:v>Completed Date</x:v>
      </x:c>
    </x:row>
    <x:row r="8" ht="26.399999618530273" hidden="0" customHeight="1">
      <x:c r="A8" s="24" t="str">
        <x:v>M00</x:v>
      </x:c>
      <x:c r="B8" s="24" t="str">
        <x:v>Freeze Hackathon Baseline &amp; Repository Governance</x:v>
      </x:c>
      <x:c r="C8" s="24" t="str">
        <x:v>Phase A - Preserve &amp; harden</x:v>
      </x:c>
      <x:c r="D8" s="24" t="str">
        <x:v>P0</x:v>
      </x:c>
      <x:c r="E8" s="24" t="str">
        <x:v>Implementation</x:v>
      </x:c>
      <x:c r="F8" s="24" t="str">
        <x:v>Repository</x:v>
      </x:c>
      <x:c r="G8" s="24" t="str">
        <x:v>Create Git tag/release `v1.0-hackathon` at the exact hackathon-complete commit; do not mix later refactors into that baseline.</x:v>
      </x:c>
      <x:c r="H8" s="24" t="str">
        <x:v>None</x:v>
      </x:c>
      <x:c r="I8" s="24" t="str"/>
      <x:c r="J8" s="24" t="str">
        <x:v>☑</x:v>
      </x:c>
      <x:c r="K8" s="24" t="str">
        <x:v>Baseline tag v1.0-hackathon verified at 4bd5cd1.</x:v>
      </x:c>
      <x:c r="L8" s="24" t="str">
        <x:v>2026-09-06</x:v>
      </x:c>
    </x:row>
    <x:row r="9" ht="26.399999618530273" hidden="0" customHeight="1">
      <x:c r="A9" s="24" t="str">
        <x:v>M00</x:v>
      </x:c>
      <x:c r="B9" s="24" t="str">
        <x:v>Freeze Hackathon Baseline &amp; Repository Governance</x:v>
      </x:c>
      <x:c r="C9" s="24" t="str">
        <x:v>Phase A - Preserve &amp; harden</x:v>
      </x:c>
      <x:c r="D9" s="24" t="str">
        <x:v>P0</x:v>
      </x:c>
      <x:c r="E9" s="24" t="str">
        <x:v>Implementation</x:v>
      </x:c>
      <x:c r="F9" s="24" t="str">
        <x:v>Documentation</x:v>
      </x:c>
      <x:c r="G9" s="24" t="str">
        <x:v>Rewrite root README as current-system documentation: roles, architecture, setup, implemented end-to-end workflow, demo accounts/data, and module map.</x:v>
      </x:c>
      <x:c r="H9" s="24" t="str">
        <x:v>None</x:v>
      </x:c>
      <x:c r="I9" s="24" t="str"/>
      <x:c r="J9" s="24" t="str">
        <x:v>☑</x:v>
      </x:c>
      <x:c r="K9" s="24" t="str">
        <x:v>Current-system README completed.</x:v>
      </x:c>
      <x:c r="L9" s="24" t="str">
        <x:v>2026-09-06</x:v>
      </x:c>
    </x:row>
    <x:row r="10" ht="26.399999618530273" hidden="0" customHeight="1">
      <x:c r="A10" s="24" t="str">
        <x:v>M00</x:v>
      </x:c>
      <x:c r="B10" s="24" t="str">
        <x:v>Freeze Hackathon Baseline &amp; Repository Governance</x:v>
      </x:c>
      <x:c r="C10" s="24" t="str">
        <x:v>Phase A - Preserve &amp; harden</x:v>
      </x:c>
      <x:c r="D10" s="24" t="str">
        <x:v>P0</x:v>
      </x:c>
      <x:c r="E10" s="24" t="str">
        <x:v>Implementation</x:v>
      </x:c>
      <x:c r="F10" s="24" t="str">
        <x:v>Documentation</x:v>
      </x:c>
      <x:c r="G10" s="24" t="str">
        <x:v>Add `ARCHITECTURE.md`, `DATABASE.md`, `API.md`, `CHANGELOG.md`, `ROADMAP.md`, and a short ADR folder for major decisions.</x:v>
      </x:c>
      <x:c r="H10" s="24" t="str">
        <x:v>None</x:v>
      </x:c>
      <x:c r="I10" s="24" t="str"/>
      <x:c r="J10" s="24" t="str">
        <x:v>☑</x:v>
      </x:c>
      <x:c r="K10" s="24" t="str">
        <x:v>Architecture, database, API, roadmap, changelog, and ADRs added.</x:v>
      </x:c>
      <x:c r="L10" s="24" t="str">
        <x:v>2026-09-06</x:v>
      </x:c>
    </x:row>
    <x:row r="11" ht="52.79999923706055" hidden="0" customHeight="1">
      <x:c r="A11" s="24" t="str">
        <x:v>M00</x:v>
      </x:c>
      <x:c r="B11" s="24" t="str">
        <x:v>Freeze Hackathon Baseline &amp; Repository Governance</x:v>
      </x:c>
      <x:c r="C11" s="24" t="str">
        <x:v>Phase A - Preserve &amp; harden</x:v>
      </x:c>
      <x:c r="D11" s="24" t="str">
        <x:v>P0</x:v>
      </x:c>
      <x:c r="E11" s="24" t="str">
        <x:v>Implementation</x:v>
      </x:c>
      <x:c r="F11" s="24" t="str">
        <x:v>Governance</x:v>
      </x:c>
      <x:c r="G11" s="24" t="str">
        <x:v>Document invariants to preserve: JWT-derived identity, role-scoped routes, ownership checks in SQL, identical 404 for cross-tenant probes, explicit transactions/row locks, DB uniqueness as concurrency backstop, immutable billing snapshots, post-commit side effects.</x:v>
      </x:c>
      <x:c r="H11" s="24" t="str">
        <x:v>None</x:v>
      </x:c>
      <x:c r="I11" s="24" t="str"/>
      <x:c r="J11" s="24" t="str">
        <x:v>☑</x:v>
      </x:c>
      <x:c r="K11" s="24" t="str">
        <x:v>Security, tenancy, locking, uniqueness, and financial invariants documented.</x:v>
      </x:c>
      <x:c r="L11" s="24" t="str">
        <x:v>2026-09-06</x:v>
      </x:c>
    </x:row>
    <x:row r="12" ht="26.399999618530273" hidden="0" customHeight="1">
      <x:c r="A12" s="24" t="str">
        <x:v>M00</x:v>
      </x:c>
      <x:c r="B12" s="24" t="str">
        <x:v>Freeze Hackathon Baseline &amp; Repository Governance</x:v>
      </x:c>
      <x:c r="C12" s="24" t="str">
        <x:v>Phase A - Preserve &amp; harden</x:v>
      </x:c>
      <x:c r="D12" s="24" t="str">
        <x:v>P0</x:v>
      </x:c>
      <x:c r="E12" s="24" t="str">
        <x:v>Implementation</x:v>
      </x:c>
      <x:c r="F12" s="24" t="str">
        <x:v>Cleanup</x:v>
      </x:c>
      <x:c r="G12" s="24" t="str">
        <x:v>Mark or remove obsolete verification-only routes/files only after equivalent real tests exist; retain historical notes where they explain superseded behavior.</x:v>
      </x:c>
      <x:c r="H12" s="24" t="str">
        <x:v>None</x:v>
      </x:c>
      <x:c r="I12" s="24" t="str"/>
      <x:c r="J12" s="24" t="str">
        <x:v>☑</x:v>
      </x:c>
      <x:c r="K12" s="24" t="str">
        <x:v>Historical e2e retained; verification-only routes deferred to M01 pending real tests.</x:v>
      </x:c>
      <x:c r="L12" s="24" t="str">
        <x:v>2026-09-06</x:v>
      </x:c>
    </x:row>
    <x:row r="13" ht="26.399999618530273" hidden="0" customHeight="1">
      <x:c r="A13" s="24" t="str">
        <x:v>M00</x:v>
      </x:c>
      <x:c r="B13" s="24" t="str">
        <x:v>Freeze Hackathon Baseline &amp; Repository Governance</x:v>
      </x:c>
      <x:c r="C13" s="24" t="str">
        <x:v>Phase A - Preserve &amp; harden</x:v>
      </x:c>
      <x:c r="D13" s="24" t="str">
        <x:v>P0</x:v>
      </x:c>
      <x:c r="E13" s="24" t="str">
        <x:v>Implementation</x:v>
      </x:c>
      <x:c r="F13" s="24" t="str">
        <x:v>Workflow</x:v>
      </x:c>
      <x:c r="G13" s="24" t="str">
        <x:v>Adopt the permanent cycle: implement -&gt; manual E2E -&gt; short architecture/security audit -&gt; automated tests -&gt; commit/push -&gt; next module.</x:v>
      </x:c>
      <x:c r="H13" s="24" t="str">
        <x:v>None</x:v>
      </x:c>
      <x:c r="I13" s="24" t="str"/>
      <x:c r="J13" s="24" t="str">
        <x:v>☑</x:v>
      </x:c>
      <x:c r="K13" s="24" t="str">
        <x:v>Permanent lifecycle recorded in ROADMAP.md and Expansion Doc.</x:v>
      </x:c>
      <x:c r="L13" s="24" t="str">
        <x:v>2026-09-06</x:v>
      </x:c>
    </x:row>
    <x:row r="14" ht="26.399999618530273" hidden="0" customHeight="1">
      <x:c r="A14" s="24" t="str">
        <x:v>M00</x:v>
      </x:c>
      <x:c r="B14" s="24" t="str">
        <x:v>Freeze Hackathon Baseline &amp; Repository Governance</x:v>
      </x:c>
      <x:c r="C14" s="24" t="str">
        <x:v>Phase A - Preserve &amp; harden</x:v>
      </x:c>
      <x:c r="D14" s="24" t="str">
        <x:v>P0</x:v>
      </x:c>
      <x:c r="E14" s="24" t="str">
        <x:v>Acceptance</x:v>
      </x:c>
      <x:c r="F14" s="24" t="str">
        <x:v>Acceptance Criteria</x:v>
      </x:c>
      <x:c r="G14" s="24" t="str">
        <x:v>Hackathon baseline is tagged and reproducible.</x:v>
      </x:c>
      <x:c r="H14" s="24" t="str">
        <x:v>None</x:v>
      </x:c>
      <x:c r="I14" s="24" t="str"/>
      <x:c r="J14" s="24" t="str">
        <x:v>☑</x:v>
      </x:c>
      <x:c r="K14" s="24" t="str">
        <x:v>Annotated baseline tag verified locally at 4bd5cd1.</x:v>
      </x:c>
      <x:c r="L14" s="24" t="str">
        <x:v>2026-09-06</x:v>
      </x:c>
    </x:row>
    <x:row r="15" ht="26.399999618530273" hidden="0" customHeight="1">
      <x:c r="A15" s="24" t="str">
        <x:v>M00</x:v>
      </x:c>
      <x:c r="B15" s="24" t="str">
        <x:v>Freeze Hackathon Baseline &amp; Repository Governance</x:v>
      </x:c>
      <x:c r="C15" s="24" t="str">
        <x:v>Phase A - Preserve &amp; harden</x:v>
      </x:c>
      <x:c r="D15" s="24" t="str">
        <x:v>P0</x:v>
      </x:c>
      <x:c r="E15" s="24" t="str">
        <x:v>Acceptance</x:v>
      </x:c>
      <x:c r="F15" s="24" t="str">
        <x:v>Acceptance Criteria</x:v>
      </x:c>
      <x:c r="G15" s="24" t="str">
        <x:v>A new developer can understand the current system from README/architecture docs without reading every source file.</x:v>
      </x:c>
      <x:c r="H15" s="24" t="str">
        <x:v>None</x:v>
      </x:c>
      <x:c r="I15" s="24" t="str"/>
      <x:c r="J15" s="24" t="str">
        <x:v>☑</x:v>
      </x:c>
      <x:c r="K15" s="24" t="str">
        <x:v>README and architecture documentation independently verified.</x:v>
      </x:c>
      <x:c r="L15" s="24" t="str">
        <x:v>2026-09-06</x:v>
      </x:c>
    </x:row>
    <x:row r="16" ht="26.399999618530273" hidden="0" customHeight="1">
      <x:c r="A16" s="24" t="str">
        <x:v>M00</x:v>
      </x:c>
      <x:c r="B16" s="24" t="str">
        <x:v>Freeze Hackathon Baseline &amp; Repository Governance</x:v>
      </x:c>
      <x:c r="C16" s="24" t="str">
        <x:v>Phase A - Preserve &amp; harden</x:v>
      </x:c>
      <x:c r="D16" s="24" t="str">
        <x:v>P0</x:v>
      </x:c>
      <x:c r="E16" s="24" t="str">
        <x:v>Acceptance</x:v>
      </x:c>
      <x:c r="F16" s="24" t="str">
        <x:v>Acceptance Criteria</x:v>
      </x:c>
      <x:c r="G16" s="24" t="str">
        <x:v>Every future module has an explicit changelog entry and commit boundary.</x:v>
      </x:c>
      <x:c r="H16" s="24" t="str">
        <x:v>None</x:v>
      </x:c>
      <x:c r="I16" s="24" t="str"/>
      <x:c r="J16" s="24" t="str">
        <x:v>☑</x:v>
      </x:c>
      <x:c r="K16" s="24" t="str">
        <x:v>Changelog entry and owner-controlled commit boundary established.</x:v>
      </x:c>
      <x:c r="L16" s="24" t="str">
        <x:v>2026-09-06</x:v>
      </x:c>
    </x:row>
    <x:row r="17" ht="26.399999618530273" hidden="0" customHeight="1">
      <x:c r="A17" s="24" t="str">
        <x:v>M01</x:v>
      </x:c>
      <x:c r="B17" s="24" t="str">
        <x:v>Automated Regression Suite &amp; CI</x:v>
      </x:c>
      <x:c r="C17" s="24" t="str">
        <x:v>Phase A - Preserve &amp; harden</x:v>
      </x:c>
      <x:c r="D17" s="24" t="str">
        <x:v>P0</x:v>
      </x:c>
      <x:c r="E17" s="24" t="str">
        <x:v>Implementation</x:v>
      </x:c>
      <x:c r="F17" s="24" t="str">
        <x:v>Backend</x:v>
      </x:c>
      <x:c r="G17" s="24" t="str">
        <x:v>Add Jest + Supertest (or equivalent) and an isolated `vms_test` database configuration that refuses to run against a non-test DB.</x:v>
      </x:c>
      <x:c r="H17" s="24" t="str">
        <x:v>M00</x:v>
      </x:c>
      <x:c r="I17" s="24" t="str"/>
      <x:c r="J17" s="24" t="str">
        <x:v>☑</x:v>
      </x:c>
      <x:c r="K17" s="24" t="str">
        <x:v>Node test runner and guarded vms_test configuration added.</x:v>
      </x:c>
      <x:c r="L17" s="24" t="str">
        <x:v>2026-09-06</x:v>
      </x:c>
    </x:row>
    <x:row r="18" ht="26.399999618530273" hidden="0" customHeight="1">
      <x:c r="A18" s="24" t="str">
        <x:v>M01</x:v>
      </x:c>
      <x:c r="B18" s="24" t="str">
        <x:v>Automated Regression Suite &amp; CI</x:v>
      </x:c>
      <x:c r="C18" s="24" t="str">
        <x:v>Phase A - Preserve &amp; harden</x:v>
      </x:c>
      <x:c r="D18" s="24" t="str">
        <x:v>P0</x:v>
      </x:c>
      <x:c r="E18" s="24" t="str">
        <x:v>Implementation</x:v>
      </x:c>
      <x:c r="F18" s="24" t="str">
        <x:v>Database</x:v>
      </x:c>
      <x:c r="G18" s="24" t="str">
        <x:v>Run migrations automatically for tests; provide deterministic seed/factory helpers instead of relying on a manually prepared live database.</x:v>
      </x:c>
      <x:c r="H18" s="24" t="str">
        <x:v>M00</x:v>
      </x:c>
      <x:c r="I18" s="24" t="str"/>
      <x:c r="J18" s="24" t="str">
        <x:v>☑</x:v>
      </x:c>
      <x:c r="K18" s="24" t="str">
        <x:v>Each backend run recreates vms_test and applies migrations 001-016.</x:v>
      </x:c>
      <x:c r="L18" s="24" t="str">
        <x:v>2026-09-06</x:v>
      </x:c>
    </x:row>
    <x:row r="19" ht="52.79999923706055" hidden="0" customHeight="1">
      <x:c r="A19" s="24" t="str">
        <x:v>M01</x:v>
      </x:c>
      <x:c r="B19" s="24" t="str">
        <x:v>Automated Regression Suite &amp; CI</x:v>
      </x:c>
      <x:c r="C19" s="24" t="str">
        <x:v>Phase A - Preserve &amp; harden</x:v>
      </x:c>
      <x:c r="D19" s="24" t="str">
        <x:v>P0</x:v>
      </x:c>
      <x:c r="E19" s="24" t="str">
        <x:v>Implementation</x:v>
      </x:c>
      <x:c r="F19" s="24" t="str">
        <x:v>Regression</x:v>
      </x:c>
      <x:c r="G19" s="24" t="str">
        <x:v>Port existing scenarios: RBAC/ownership, atomic assignment, no overstaffing, active-assignment conflict/release, PM allocation caps, daily timesheet uniqueness, rejected edit/resubmit, milestone trigger, per-contractor billing contribution, duplicate invoice protection.</x:v>
      </x:c>
      <x:c r="H19" s="24" t="str">
        <x:v>M00</x:v>
      </x:c>
      <x:c r="I19" s="24" t="str"/>
      <x:c r="J19" s="24" t="str">
        <x:v>☑</x:v>
      </x:c>
      <x:c r="K19" s="24" t="str">
        <x:v>Current MVP and release regression scenarios are automated.</x:v>
      </x:c>
      <x:c r="L19" s="24" t="str">
        <x:v>2026-09-06</x:v>
      </x:c>
    </x:row>
    <x:row r="20" ht="26.399999618530273" hidden="0" customHeight="1">
      <x:c r="A20" s="24" t="str">
        <x:v>M01</x:v>
      </x:c>
      <x:c r="B20" s="24" t="str">
        <x:v>Automated Regression Suite &amp; CI</x:v>
      </x:c>
      <x:c r="C20" s="24" t="str">
        <x:v>Phase A - Preserve &amp; harden</x:v>
      </x:c>
      <x:c r="D20" s="24" t="str">
        <x:v>P0</x:v>
      </x:c>
      <x:c r="E20" s="24" t="str">
        <x:v>Implementation</x:v>
      </x:c>
      <x:c r="F20" s="24" t="str">
        <x:v>Concurrency</x:v>
      </x:c>
      <x:c r="G20" s="24" t="str">
        <x:v>Add tests that run simultaneous assignment/review/invoice operations and assert only one valid winner where uniqueness/conditional transitions apply.</x:v>
      </x:c>
      <x:c r="H20" s="24" t="str">
        <x:v>M00</x:v>
      </x:c>
      <x:c r="I20" s="24" t="str"/>
      <x:c r="J20" s="24" t="str">
        <x:v>☑</x:v>
      </x:c>
      <x:c r="K20" s="24" t="str">
        <x:v>Concurrent approval/billing duplicate protection is exercised.</x:v>
      </x:c>
      <x:c r="L20" s="24" t="str">
        <x:v>2026-09-06</x:v>
      </x:c>
    </x:row>
    <x:row r="21" ht="26.399999618530273" hidden="0" customHeight="1">
      <x:c r="A21" s="24" t="str">
        <x:v>M01</x:v>
      </x:c>
      <x:c r="B21" s="24" t="str">
        <x:v>Automated Regression Suite &amp; CI</x:v>
      </x:c>
      <x:c r="C21" s="24" t="str">
        <x:v>Phase A - Preserve &amp; harden</x:v>
      </x:c>
      <x:c r="D21" s="24" t="str">
        <x:v>P0</x:v>
      </x:c>
      <x:c r="E21" s="24" t="str">
        <x:v>Implementation</x:v>
      </x:c>
      <x:c r="F21" s="24" t="str">
        <x:v>Frontend</x:v>
      </x:c>
      <x:c r="G21" s="24" t="str">
        <x:v>Add Vitest/React Testing Library for role routing, critical forms, rejection reason visibility, assignment state, timesheet state, and invoice state as modules evolve.</x:v>
      </x:c>
      <x:c r="H21" s="24" t="str">
        <x:v>M00</x:v>
      </x:c>
      <x:c r="I21" s="24" t="str"/>
      <x:c r="J21" s="24" t="str">
        <x:v>☑</x:v>
      </x:c>
      <x:c r="K21" s="24" t="str">
        <x:v>Vitest route-guard coverage added; further UI states evolve with modules.</x:v>
      </x:c>
      <x:c r="L21" s="24" t="str">
        <x:v>2026-09-06</x:v>
      </x:c>
    </x:row>
    <x:row r="22" ht="26.399999618530273" hidden="0" customHeight="1">
      <x:c r="A22" s="24" t="str">
        <x:v>M01</x:v>
      </x:c>
      <x:c r="B22" s="24" t="str">
        <x:v>Automated Regression Suite &amp; CI</x:v>
      </x:c>
      <x:c r="C22" s="24" t="str">
        <x:v>Phase A - Preserve &amp; harden</x:v>
      </x:c>
      <x:c r="D22" s="24" t="str">
        <x:v>P0</x:v>
      </x:c>
      <x:c r="E22" s="24" t="str">
        <x:v>Implementation</x:v>
      </x:c>
      <x:c r="F22" s="24" t="str">
        <x:v>CI</x:v>
      </x:c>
      <x:c r="G22" s="24" t="str">
        <x:v>Add GitHub Actions: install -&gt; lint -&gt; backend tests -&gt; MySQL integration tests -&gt; frontend tests -&gt; production build.</x:v>
      </x:c>
      <x:c r="H22" s="24" t="str">
        <x:v>M00</x:v>
      </x:c>
      <x:c r="I22" s="24" t="str"/>
      <x:c r="J22" s="24" t="str">
        <x:v>☑</x:v>
      </x:c>
      <x:c r="K22" s="24" t="str">
        <x:v>GitHub Actions runs MySQL-backed tests, lint, frontend tests, and build.</x:v>
      </x:c>
      <x:c r="L22" s="24" t="str">
        <x:v>2026-09-06</x:v>
      </x:c>
    </x:row>
    <x:row r="23" ht="26.399999618530273" hidden="0" customHeight="1">
      <x:c r="A23" s="24" t="str">
        <x:v>M01</x:v>
      </x:c>
      <x:c r="B23" s="24" t="str">
        <x:v>Automated Regression Suite &amp; CI</x:v>
      </x:c>
      <x:c r="C23" s="24" t="str">
        <x:v>Phase A - Preserve &amp; harden</x:v>
      </x:c>
      <x:c r="D23" s="24" t="str">
        <x:v>P0</x:v>
      </x:c>
      <x:c r="E23" s="24" t="str">
        <x:v>Implementation</x:v>
      </x:c>
      <x:c r="F23" s="24" t="str">
        <x:v>Quality</x:v>
      </x:c>
      <x:c r="G23" s="24" t="str">
        <x:v>Set a practical coverage floor for core services/repositories rather than chasing 100%; make failing tests block merges.</x:v>
      </x:c>
      <x:c r="H23" s="24" t="str">
        <x:v>M00</x:v>
      </x:c>
      <x:c r="I23" s="24" t="str"/>
      <x:c r="J23" s="24" t="str">
        <x:v>☑</x:v>
      </x:c>
      <x:c r="K23" s="24" t="str">
        <x:v>c8 gate: 40% lines/functions, 30% branches for services/repositories.</x:v>
      </x:c>
      <x:c r="L23" s="24" t="str">
        <x:v>2026-09-06</x:v>
      </x:c>
    </x:row>
    <x:row r="24" ht="15" hidden="0" customHeight="1">
      <x:c r="A24" s="24" t="str">
        <x:v>M01</x:v>
      </x:c>
      <x:c r="B24" s="24" t="str">
        <x:v>Automated Regression Suite &amp; CI</x:v>
      </x:c>
      <x:c r="C24" s="24" t="str">
        <x:v>Phase A - Preserve &amp; harden</x:v>
      </x:c>
      <x:c r="D24" s="24" t="str">
        <x:v>P0</x:v>
      </x:c>
      <x:c r="E24" s="24" t="str">
        <x:v>Acceptance</x:v>
      </x:c>
      <x:c r="F24" s="24" t="str">
        <x:v>Acceptance Criteria</x:v>
      </x:c>
      <x:c r="G24" s="24" t="str">
        <x:v>`npm test` runs without manually starting the API.</x:v>
      </x:c>
      <x:c r="H24" s="24" t="str">
        <x:v>M00</x:v>
      </x:c>
      <x:c r="I24" s="24" t="str"/>
      <x:c r="J24" s="24" t="str">
        <x:v>☑</x:v>
      </x:c>
      <x:c r="K24" s="24" t="str">
        <x:v>npm test starts its own local API and test database workflow.</x:v>
      </x:c>
      <x:c r="L24" s="24" t="str">
        <x:v>2026-09-06</x:v>
      </x:c>
    </x:row>
    <x:row r="25" ht="15" hidden="0" customHeight="1">
      <x:c r="A25" s="24" t="str">
        <x:v>M01</x:v>
      </x:c>
      <x:c r="B25" s="24" t="str">
        <x:v>Automated Regression Suite &amp; CI</x:v>
      </x:c>
      <x:c r="C25" s="24" t="str">
        <x:v>Phase A - Preserve &amp; harden</x:v>
      </x:c>
      <x:c r="D25" s="24" t="str">
        <x:v>P0</x:v>
      </x:c>
      <x:c r="E25" s="24" t="str">
        <x:v>Acceptance</x:v>
      </x:c>
      <x:c r="F25" s="24" t="str">
        <x:v>Acceptance Criteria</x:v>
      </x:c>
      <x:c r="G25" s="24" t="str">
        <x:v>CI creates an isolated MySQL service and passes from a clean checkout.</x:v>
      </x:c>
      <x:c r="H25" s="24" t="str">
        <x:v>M00</x:v>
      </x:c>
      <x:c r="I25" s="24" t="str"/>
      <x:c r="J25" s="24" t="str">
        <x:v>☑</x:v>
      </x:c>
      <x:c r="K25" s="24" t="str">
        <x:v>CI provisions isolated MySQL 8 service.</x:v>
      </x:c>
      <x:c r="L25" s="24" t="str">
        <x:v>2026-09-06</x:v>
      </x:c>
    </x:row>
    <x:row r="26" ht="15" hidden="0" customHeight="1">
      <x:c r="A26" s="24" t="str">
        <x:v>M01</x:v>
      </x:c>
      <x:c r="B26" s="24" t="str">
        <x:v>Automated Regression Suite &amp; CI</x:v>
      </x:c>
      <x:c r="C26" s="24" t="str">
        <x:v>Phase A - Preserve &amp; harden</x:v>
      </x:c>
      <x:c r="D26" s="24" t="str">
        <x:v>P0</x:v>
      </x:c>
      <x:c r="E26" s="24" t="str">
        <x:v>Acceptance</x:v>
      </x:c>
      <x:c r="F26" s="24" t="str">
        <x:v>Acceptance Criteria</x:v>
      </x:c>
      <x:c r="G26" s="24" t="str">
        <x:v>The known milestone billing regression is permanently covered.</x:v>
      </x:c>
      <x:c r="H26" s="24" t="str">
        <x:v>M00</x:v>
      </x:c>
      <x:c r="I26" s="24" t="str"/>
      <x:c r="J26" s="24" t="str">
        <x:v>☑</x:v>
      </x:c>
      <x:c r="K26" s="24" t="str">
        <x:v>Known milestone billing regression passes in automated suite.</x:v>
      </x:c>
      <x:c r="L26" s="24" t="str">
        <x:v>2026-09-06</x:v>
      </x:c>
    </x:row>
    <x:row r="27" ht="15" hidden="0" customHeight="1">
      <x:c r="A27" s="24" t="str">
        <x:v>M01</x:v>
      </x:c>
      <x:c r="B27" s="24" t="str">
        <x:v>Automated Regression Suite &amp; CI</x:v>
      </x:c>
      <x:c r="C27" s="24" t="str">
        <x:v>Phase A - Preserve &amp; harden</x:v>
      </x:c>
      <x:c r="D27" s="24" t="str">
        <x:v>P0</x:v>
      </x:c>
      <x:c r="E27" s="24" t="str">
        <x:v>Acceptance</x:v>
      </x:c>
      <x:c r="F27" s="24" t="str">
        <x:v>Acceptance Criteria</x:v>
      </x:c>
      <x:c r="G27" s="24" t="str">
        <x:v>A concurrency race cannot silently pass as two successful mutations.</x:v>
      </x:c>
      <x:c r="H27" s="24" t="str">
        <x:v>M00</x:v>
      </x:c>
      <x:c r="I27" s="24" t="str"/>
      <x:c r="J27" s="24" t="str">
        <x:v>☑</x:v>
      </x:c>
      <x:c r="K27" s="24" t="str">
        <x:v>Concurrent milestone approvals assert no duplicate billing contributions.</x:v>
      </x:c>
      <x:c r="L27" s="24" t="str">
        <x:v>2026-09-06</x:v>
      </x:c>
    </x:row>
    <x:row r="28" ht="26.399999618530273" hidden="0" customHeight="1">
      <x:c r="A28" s="24" t="str">
        <x:v>M02</x:v>
      </x:c>
      <x:c r="B28" s="24" t="str">
        <x:v>Authentication, Session &amp; Account Security Hardening</x:v>
      </x:c>
      <x:c r="C28" s="24" t="str">
        <x:v>Phase A - Preserve &amp; harden</x:v>
      </x:c>
      <x:c r="D28" s="24" t="str">
        <x:v>P0</x:v>
      </x:c>
      <x:c r="E28" s="24" t="str">
        <x:v>Implementation</x:v>
      </x:c>
      <x:c r="F28" s="24" t="str">
        <x:v>Security</x:v>
      </x:c>
      <x:c r="G28" s="24" t="str">
        <x:v>Add `helmet`, strict CORS allowlist by environment, request body limits, auth-specific rate limiting and progressive account lockout/backoff.</x:v>
      </x:c>
      <x:c r="H28" s="24" t="str">
        <x:v>M01</x:v>
      </x:c>
      <x:c r="I28" s="24" t="str"/>
      <x:c r="J28" s="24" t="str">
        <x:v>☐</x:v>
      </x:c>
      <x:c r="K28" s="24" t="str"/>
      <x:c r="L28" s="24"/>
    </x:row>
    <x:row r="29" ht="39.599998474121094" hidden="0" customHeight="1">
      <x:c r="A29" s="24" t="str">
        <x:v>M02</x:v>
      </x:c>
      <x:c r="B29" s="24" t="str">
        <x:v>Authentication, Session &amp; Account Security Hardening</x:v>
      </x:c>
      <x:c r="C29" s="24" t="str">
        <x:v>Phase A - Preserve &amp; harden</x:v>
      </x:c>
      <x:c r="D29" s="24" t="str">
        <x:v>P0</x:v>
      </x:c>
      <x:c r="E29" s="24" t="str">
        <x:v>Implementation</x:v>
      </x:c>
      <x:c r="F29" s="24" t="str">
        <x:v>Sessions</x:v>
      </x:c>
      <x:c r="G29" s="24" t="str">
        <x:v>Move to short-lived access tokens plus refresh/session records with rotation, revocation and logout-all; prefer an HttpOnly Secure SameSite refresh cookie rather than a long-lived localStorage bearer token.</x:v>
      </x:c>
      <x:c r="H29" s="24" t="str">
        <x:v>M01</x:v>
      </x:c>
      <x:c r="I29" s="24" t="str"/>
      <x:c r="J29" s="24" t="str">
        <x:v>☐</x:v>
      </x:c>
      <x:c r="K29" s="24" t="str"/>
      <x:c r="L29" s="24"/>
    </x:row>
    <x:row r="30" ht="26.399999618530273" hidden="0" customHeight="1">
      <x:c r="A30" s="24" t="str">
        <x:v>M02</x:v>
      </x:c>
      <x:c r="B30" s="24" t="str">
        <x:v>Authentication, Session &amp; Account Security Hardening</x:v>
      </x:c>
      <x:c r="C30" s="24" t="str">
        <x:v>Phase A - Preserve &amp; harden</x:v>
      </x:c>
      <x:c r="D30" s="24" t="str">
        <x:v>P0</x:v>
      </x:c>
      <x:c r="E30" s="24" t="str">
        <x:v>Implementation</x:v>
      </x:c>
      <x:c r="F30" s="24" t="str">
        <x:v>Recovery</x:v>
      </x:c>
      <x:c r="G30" s="24" t="str">
        <x:v>Implement forgot-password/reset-password using single-use hashed reset tokens with expiry; enforce the same password policy as signup.</x:v>
      </x:c>
      <x:c r="H30" s="24" t="str">
        <x:v>M01</x:v>
      </x:c>
      <x:c r="I30" s="24" t="str"/>
      <x:c r="J30" s="24" t="str">
        <x:v>☐</x:v>
      </x:c>
      <x:c r="K30" s="24" t="str"/>
      <x:c r="L30" s="24"/>
    </x:row>
    <x:row r="31" ht="26.399999618530273" hidden="0" customHeight="1">
      <x:c r="A31" s="24" t="str">
        <x:v>M02</x:v>
      </x:c>
      <x:c r="B31" s="24" t="str">
        <x:v>Authentication, Session &amp; Account Security Hardening</x:v>
      </x:c>
      <x:c r="C31" s="24" t="str">
        <x:v>Phase A - Preserve &amp; harden</x:v>
      </x:c>
      <x:c r="D31" s="24" t="str">
        <x:v>P0</x:v>
      </x:c>
      <x:c r="E31" s="24" t="str">
        <x:v>Implementation</x:v>
      </x:c>
      <x:c r="F31" s="24" t="str">
        <x:v>Contractor onboarding</x:v>
      </x:c>
      <x:c r="G31" s="24" t="str">
        <x:v>Replace vendor-chosen permanent passwords with invitation/first-login password setup. Keep a temporary compatibility path only while migrating seed/demo users.</x:v>
      </x:c>
      <x:c r="H31" s="24" t="str">
        <x:v>M01</x:v>
      </x:c>
      <x:c r="I31" s="24" t="str"/>
      <x:c r="J31" s="24" t="str">
        <x:v>☐</x:v>
      </x:c>
      <x:c r="K31" s="24" t="str"/>
      <x:c r="L31" s="24"/>
    </x:row>
    <x:row r="32" ht="26.399999618530273" hidden="0" customHeight="1">
      <x:c r="A32" s="24" t="str">
        <x:v>M02</x:v>
      </x:c>
      <x:c r="B32" s="24" t="str">
        <x:v>Authentication, Session &amp; Account Security Hardening</x:v>
      </x:c>
      <x:c r="C32" s="24" t="str">
        <x:v>Phase A - Preserve &amp; harden</x:v>
      </x:c>
      <x:c r="D32" s="24" t="str">
        <x:v>P0</x:v>
      </x:c>
      <x:c r="E32" s="24" t="str">
        <x:v>Implementation</x:v>
      </x:c>
      <x:c r="F32" s="24" t="str">
        <x:v>Validation</x:v>
      </x:c>
      <x:c r="G32" s="24" t="str">
        <x:v>Reject unknown auth fields; normalize email consistently; keep generic login/recovery responses that do not reveal account existence.</x:v>
      </x:c>
      <x:c r="H32" s="24" t="str">
        <x:v>M01</x:v>
      </x:c>
      <x:c r="I32" s="24" t="str"/>
      <x:c r="J32" s="24" t="str">
        <x:v>☐</x:v>
      </x:c>
      <x:c r="K32" s="24" t="str"/>
      <x:c r="L32" s="24"/>
    </x:row>
    <x:row r="33" ht="26.399999618530273" hidden="0" customHeight="1">
      <x:c r="A33" s="24" t="str">
        <x:v>M02</x:v>
      </x:c>
      <x:c r="B33" s="24" t="str">
        <x:v>Authentication, Session &amp; Account Security Hardening</x:v>
      </x:c>
      <x:c r="C33" s="24" t="str">
        <x:v>Phase A - Preserve &amp; harden</x:v>
      </x:c>
      <x:c r="D33" s="24" t="str">
        <x:v>P0</x:v>
      </x:c>
      <x:c r="E33" s="24" t="str">
        <x:v>Implementation</x:v>
      </x:c>
      <x:c r="F33" s="24" t="str">
        <x:v>Frontend</x:v>
      </x:c>
      <x:c r="G33" s="24" t="str">
        <x:v>Add session restoration, expired-session handling, password setup/reset screens, logout-all entry point, and clear unauthorized vs expired states.</x:v>
      </x:c>
      <x:c r="H33" s="24" t="str">
        <x:v>M01</x:v>
      </x:c>
      <x:c r="I33" s="24" t="str"/>
      <x:c r="J33" s="24" t="str">
        <x:v>☐</x:v>
      </x:c>
      <x:c r="K33" s="24" t="str"/>
      <x:c r="L33" s="24"/>
    </x:row>
    <x:row r="34" ht="26.399999618530273" hidden="0" customHeight="1">
      <x:c r="A34" s="24" t="str">
        <x:v>M02</x:v>
      </x:c>
      <x:c r="B34" s="24" t="str">
        <x:v>Authentication, Session &amp; Account Security Hardening</x:v>
      </x:c>
      <x:c r="C34" s="24" t="str">
        <x:v>Phase A - Preserve &amp; harden</x:v>
      </x:c>
      <x:c r="D34" s="24" t="str">
        <x:v>P0</x:v>
      </x:c>
      <x:c r="E34" s="24" t="str">
        <x:v>Implementation</x:v>
      </x:c>
      <x:c r="F34" s="24" t="str">
        <x:v>Tests</x:v>
      </x:c>
      <x:c r="G34" s="24" t="str">
        <x:v>Cover brute-force limits, token rotation/reuse rejection, logout revocation, reset-token expiry/reuse, and contractor invitation acceptance.</x:v>
      </x:c>
      <x:c r="H34" s="24" t="str">
        <x:v>M01</x:v>
      </x:c>
      <x:c r="I34" s="24" t="str"/>
      <x:c r="J34" s="24" t="str">
        <x:v>☐</x:v>
      </x:c>
      <x:c r="K34" s="24" t="str"/>
      <x:c r="L34" s="24"/>
    </x:row>
    <x:row r="35" ht="26.399999618530273" hidden="0" customHeight="1">
      <x:c r="A35" s="24" t="str">
        <x:v>M02</x:v>
      </x:c>
      <x:c r="B35" s="24" t="str">
        <x:v>Authentication, Session &amp; Account Security Hardening</x:v>
      </x:c>
      <x:c r="C35" s="24" t="str">
        <x:v>Phase A - Preserve &amp; harden</x:v>
      </x:c>
      <x:c r="D35" s="24" t="str">
        <x:v>P0</x:v>
      </x:c>
      <x:c r="E35" s="24" t="str">
        <x:v>Acceptance</x:v>
      </x:c>
      <x:c r="F35" s="24" t="str">
        <x:v>Acceptance Criteria</x:v>
      </x:c>
      <x:c r="G35" s="24" t="str">
        <x:v>Repeated failed logins are rate-limited/locked safely.</x:v>
      </x:c>
      <x:c r="H35" s="24" t="str">
        <x:v>M01</x:v>
      </x:c>
      <x:c r="I35" s="24" t="str"/>
      <x:c r="J35" s="24" t="str">
        <x:v>☐</x:v>
      </x:c>
      <x:c r="K35" s="24" t="str"/>
      <x:c r="L35" s="24"/>
    </x:row>
    <x:row r="36" ht="26.399999618530273" hidden="0" customHeight="1">
      <x:c r="A36" s="24" t="str">
        <x:v>M02</x:v>
      </x:c>
      <x:c r="B36" s="24" t="str">
        <x:v>Authentication, Session &amp; Account Security Hardening</x:v>
      </x:c>
      <x:c r="C36" s="24" t="str">
        <x:v>Phase A - Preserve &amp; harden</x:v>
      </x:c>
      <x:c r="D36" s="24" t="str">
        <x:v>P0</x:v>
      </x:c>
      <x:c r="E36" s="24" t="str">
        <x:v>Acceptance</x:v>
      </x:c>
      <x:c r="F36" s="24" t="str">
        <x:v>Acceptance Criteria</x:v>
      </x:c>
      <x:c r="G36" s="24" t="str">
        <x:v>A stolen/expired access token can be revoked via the session model.</x:v>
      </x:c>
      <x:c r="H36" s="24" t="str">
        <x:v>M01</x:v>
      </x:c>
      <x:c r="I36" s="24" t="str"/>
      <x:c r="J36" s="24" t="str">
        <x:v>☐</x:v>
      </x:c>
      <x:c r="K36" s="24" t="str"/>
      <x:c r="L36" s="24"/>
    </x:row>
    <x:row r="37" ht="26.399999618530273" hidden="0" customHeight="1">
      <x:c r="A37" s="24" t="str">
        <x:v>M02</x:v>
      </x:c>
      <x:c r="B37" s="24" t="str">
        <x:v>Authentication, Session &amp; Account Security Hardening</x:v>
      </x:c>
      <x:c r="C37" s="24" t="str">
        <x:v>Phase A - Preserve &amp; harden</x:v>
      </x:c>
      <x:c r="D37" s="24" t="str">
        <x:v>P0</x:v>
      </x:c>
      <x:c r="E37" s="24" t="str">
        <x:v>Acceptance</x:v>
      </x:c>
      <x:c r="F37" s="24" t="str">
        <x:v>Acceptance Criteria</x:v>
      </x:c>
      <x:c r="G37" s="24" t="str">
        <x:v>Forgot-password works without leaking whether an email exists.</x:v>
      </x:c>
      <x:c r="H37" s="24" t="str">
        <x:v>M01</x:v>
      </x:c>
      <x:c r="I37" s="24" t="str"/>
      <x:c r="J37" s="24" t="str">
        <x:v>☐</x:v>
      </x:c>
      <x:c r="K37" s="24" t="str"/>
      <x:c r="L37" s="24"/>
    </x:row>
    <x:row r="38" ht="26.399999618530273" hidden="0" customHeight="1">
      <x:c r="A38" s="24" t="str">
        <x:v>M02</x:v>
      </x:c>
      <x:c r="B38" s="24" t="str">
        <x:v>Authentication, Session &amp; Account Security Hardening</x:v>
      </x:c>
      <x:c r="C38" s="24" t="str">
        <x:v>Phase A - Preserve &amp; harden</x:v>
      </x:c>
      <x:c r="D38" s="24" t="str">
        <x:v>P0</x:v>
      </x:c>
      <x:c r="E38" s="24" t="str">
        <x:v>Acceptance</x:v>
      </x:c>
      <x:c r="F38" s="24" t="str">
        <x:v>Acceptance Criteria</x:v>
      </x:c>
      <x:c r="G38" s="24" t="str">
        <x:v>Vendor-created contractors set their own password on first login.</x:v>
      </x:c>
      <x:c r="H38" s="24" t="str">
        <x:v>M01</x:v>
      </x:c>
      <x:c r="I38" s="24" t="str"/>
      <x:c r="J38" s="24" t="str">
        <x:v>☐</x:v>
      </x:c>
      <x:c r="K38" s="24" t="str"/>
      <x:c r="L38" s="24"/>
    </x:row>
    <x:row r="39" ht="26.399999618530273" hidden="0" customHeight="1">
      <x:c r="A39" s="24" t="str">
        <x:v>M03</x:v>
      </x:c>
      <x:c r="B39" s="24" t="str">
        <x:v>Structured Logging, Error Contracts &amp; Operational Health</x:v>
      </x:c>
      <x:c r="C39" s="24" t="str">
        <x:v>Phase A - Preserve &amp; harden</x:v>
      </x:c>
      <x:c r="D39" s="24" t="str">
        <x:v>P0</x:v>
      </x:c>
      <x:c r="E39" s="24" t="str">
        <x:v>Implementation</x:v>
      </x:c>
      <x:c r="F39" s="24" t="str">
        <x:v>Logging</x:v>
      </x:c>
      <x:c r="G39" s="24" t="str">
        <x:v>Introduce structured JSON logs with request_id/correlation_id, route, actor user id/role, status, duration and stable error code; redact passwords/tokens/document data.</x:v>
      </x:c>
      <x:c r="H39" s="24" t="str">
        <x:v>M01</x:v>
      </x:c>
      <x:c r="I39" s="24" t="str"/>
      <x:c r="J39" s="24" t="str">
        <x:v>☐</x:v>
      </x:c>
      <x:c r="K39" s="24" t="str"/>
      <x:c r="L39" s="24"/>
    </x:row>
    <x:row r="40" ht="26.399999618530273" hidden="0" customHeight="1">
      <x:c r="A40" s="24" t="str">
        <x:v>M03</x:v>
      </x:c>
      <x:c r="B40" s="24" t="str">
        <x:v>Structured Logging, Error Contracts &amp; Operational Health</x:v>
      </x:c>
      <x:c r="C40" s="24" t="str">
        <x:v>Phase A - Preserve &amp; harden</x:v>
      </x:c>
      <x:c r="D40" s="24" t="str">
        <x:v>P0</x:v>
      </x:c>
      <x:c r="E40" s="24" t="str">
        <x:v>Implementation</x:v>
      </x:c>
      <x:c r="F40" s="24" t="str">
        <x:v>Middleware</x:v>
      </x:c>
      <x:c r="G40" s="24" t="str">
        <x:v>Generate/accept a request ID at ingress and return it in response headers/errors.</x:v>
      </x:c>
      <x:c r="H40" s="24" t="str">
        <x:v>M01</x:v>
      </x:c>
      <x:c r="I40" s="24" t="str"/>
      <x:c r="J40" s="24" t="str">
        <x:v>☐</x:v>
      </x:c>
      <x:c r="K40" s="24" t="str"/>
      <x:c r="L40" s="24"/>
    </x:row>
    <x:row r="41" ht="26.399999618530273" hidden="0" customHeight="1">
      <x:c r="A41" s="24" t="str">
        <x:v>M03</x:v>
      </x:c>
      <x:c r="B41" s="24" t="str">
        <x:v>Structured Logging, Error Contracts &amp; Operational Health</x:v>
      </x:c>
      <x:c r="C41" s="24" t="str">
        <x:v>Phase A - Preserve &amp; harden</x:v>
      </x:c>
      <x:c r="D41" s="24" t="str">
        <x:v>P0</x:v>
      </x:c>
      <x:c r="E41" s="24" t="str">
        <x:v>Implementation</x:v>
      </x:c>
      <x:c r="F41" s="24" t="str">
        <x:v>Errors</x:v>
      </x:c>
      <x:c r="G41" s="24" t="str">
        <x:v>Standardize API errors as `{code,message,details?,request_id}`; map DB duplicate/constraint failures to stable domain codes.</x:v>
      </x:c>
      <x:c r="H41" s="24" t="str">
        <x:v>M01</x:v>
      </x:c>
      <x:c r="I41" s="24" t="str"/>
      <x:c r="J41" s="24" t="str">
        <x:v>☐</x:v>
      </x:c>
      <x:c r="K41" s="24" t="str"/>
      <x:c r="L41" s="24"/>
    </x:row>
    <x:row r="42" ht="26.399999618530273" hidden="0" customHeight="1">
      <x:c r="A42" s="24" t="str">
        <x:v>M03</x:v>
      </x:c>
      <x:c r="B42" s="24" t="str">
        <x:v>Structured Logging, Error Contracts &amp; Operational Health</x:v>
      </x:c>
      <x:c r="C42" s="24" t="str">
        <x:v>Phase A - Preserve &amp; harden</x:v>
      </x:c>
      <x:c r="D42" s="24" t="str">
        <x:v>P0</x:v>
      </x:c>
      <x:c r="E42" s="24" t="str">
        <x:v>Implementation</x:v>
      </x:c>
      <x:c r="F42" s="24" t="str">
        <x:v>Health</x:v>
      </x:c>
      <x:c r="G42" s="24" t="str">
        <x:v>Split liveness/readiness semantics: process live, DB ready, optional dependency status.</x:v>
      </x:c>
      <x:c r="H42" s="24" t="str">
        <x:v>M01</x:v>
      </x:c>
      <x:c r="I42" s="24" t="str"/>
      <x:c r="J42" s="24" t="str">
        <x:v>☐</x:v>
      </x:c>
      <x:c r="K42" s="24" t="str"/>
      <x:c r="L42" s="24"/>
    </x:row>
    <x:row r="43" ht="26.399999618530273" hidden="0" customHeight="1">
      <x:c r="A43" s="24" t="str">
        <x:v>M03</x:v>
      </x:c>
      <x:c r="B43" s="24" t="str">
        <x:v>Structured Logging, Error Contracts &amp; Operational Health</x:v>
      </x:c>
      <x:c r="C43" s="24" t="str">
        <x:v>Phase A - Preserve &amp; harden</x:v>
      </x:c>
      <x:c r="D43" s="24" t="str">
        <x:v>P0</x:v>
      </x:c>
      <x:c r="E43" s="24" t="str">
        <x:v>Implementation</x:v>
      </x:c>
      <x:c r="F43" s="24" t="str">
        <x:v>Metrics</x:v>
      </x:c>
      <x:c r="G43" s="24" t="str">
        <x:v>At minimum record counts/latency for auth failures, assignment conflicts, timesheet reviews, billing triggers and invoice transitions.</x:v>
      </x:c>
      <x:c r="H43" s="24" t="str">
        <x:v>M01</x:v>
      </x:c>
      <x:c r="I43" s="24" t="str"/>
      <x:c r="J43" s="24" t="str">
        <x:v>☐</x:v>
      </x:c>
      <x:c r="K43" s="24" t="str"/>
      <x:c r="L43" s="24"/>
    </x:row>
    <x:row r="44" ht="26.399999618530273" hidden="0" customHeight="1">
      <x:c r="A44" s="24" t="str">
        <x:v>M03</x:v>
      </x:c>
      <x:c r="B44" s="24" t="str">
        <x:v>Structured Logging, Error Contracts &amp; Operational Health</x:v>
      </x:c>
      <x:c r="C44" s="24" t="str">
        <x:v>Phase A - Preserve &amp; harden</x:v>
      </x:c>
      <x:c r="D44" s="24" t="str">
        <x:v>P0</x:v>
      </x:c>
      <x:c r="E44" s="24" t="str">
        <x:v>Implementation</x:v>
      </x:c>
      <x:c r="F44" s="24" t="str">
        <x:v>Tests</x:v>
      </x:c>
      <x:c r="G44" s="24" t="str">
        <x:v>Assert no stack traces/secrets reach production responses and request IDs appear consistently.</x:v>
      </x:c>
      <x:c r="H44" s="24" t="str">
        <x:v>M01</x:v>
      </x:c>
      <x:c r="I44" s="24" t="str"/>
      <x:c r="J44" s="24" t="str">
        <x:v>☐</x:v>
      </x:c>
      <x:c r="K44" s="24" t="str"/>
      <x:c r="L44" s="24"/>
    </x:row>
    <x:row r="45" ht="26.399999618530273" hidden="0" customHeight="1">
      <x:c r="A45" s="24" t="str">
        <x:v>M03</x:v>
      </x:c>
      <x:c r="B45" s="24" t="str">
        <x:v>Structured Logging, Error Contracts &amp; Operational Health</x:v>
      </x:c>
      <x:c r="C45" s="24" t="str">
        <x:v>Phase A - Preserve &amp; harden</x:v>
      </x:c>
      <x:c r="D45" s="24" t="str">
        <x:v>P0</x:v>
      </x:c>
      <x:c r="E45" s="24" t="str">
        <x:v>Acceptance</x:v>
      </x:c>
      <x:c r="F45" s="24" t="str">
        <x:v>Acceptance Criteria</x:v>
      </x:c>
      <x:c r="G45" s="24" t="str">
        <x:v>A production error can be traced by request ID.</x:v>
      </x:c>
      <x:c r="H45" s="24" t="str">
        <x:v>M01</x:v>
      </x:c>
      <x:c r="I45" s="24" t="str"/>
      <x:c r="J45" s="24" t="str">
        <x:v>☐</x:v>
      </x:c>
      <x:c r="K45" s="24" t="str"/>
      <x:c r="L45" s="24"/>
    </x:row>
    <x:row r="46" ht="26.399999618530273" hidden="0" customHeight="1">
      <x:c r="A46" s="24" t="str">
        <x:v>M03</x:v>
      </x:c>
      <x:c r="B46" s="24" t="str">
        <x:v>Structured Logging, Error Contracts &amp; Operational Health</x:v>
      </x:c>
      <x:c r="C46" s="24" t="str">
        <x:v>Phase A - Preserve &amp; harden</x:v>
      </x:c>
      <x:c r="D46" s="24" t="str">
        <x:v>P0</x:v>
      </x:c>
      <x:c r="E46" s="24" t="str">
        <x:v>Acceptance</x:v>
      </x:c>
      <x:c r="F46" s="24" t="str">
        <x:v>Acceptance Criteria</x:v>
      </x:c>
      <x:c r="G46" s="24" t="str">
        <x:v>Client responses use stable domain error codes.</x:v>
      </x:c>
      <x:c r="H46" s="24" t="str">
        <x:v>M01</x:v>
      </x:c>
      <x:c r="I46" s="24" t="str"/>
      <x:c r="J46" s="24" t="str">
        <x:v>☐</x:v>
      </x:c>
      <x:c r="K46" s="24" t="str"/>
      <x:c r="L46" s="24"/>
    </x:row>
    <x:row r="47" ht="26.399999618530273" hidden="0" customHeight="1">
      <x:c r="A47" s="24" t="str">
        <x:v>M03</x:v>
      </x:c>
      <x:c r="B47" s="24" t="str">
        <x:v>Structured Logging, Error Contracts &amp; Operational Health</x:v>
      </x:c>
      <x:c r="C47" s="24" t="str">
        <x:v>Phase A - Preserve &amp; harden</x:v>
      </x:c>
      <x:c r="D47" s="24" t="str">
        <x:v>P0</x:v>
      </x:c>
      <x:c r="E47" s="24" t="str">
        <x:v>Acceptance</x:v>
      </x:c>
      <x:c r="F47" s="24" t="str">
        <x:v>Acceptance Criteria</x:v>
      </x:c>
      <x:c r="G47" s="24" t="str">
        <x:v>Logs contain no raw passwords/JWTs/document contents.</x:v>
      </x:c>
      <x:c r="H47" s="24" t="str">
        <x:v>M01</x:v>
      </x:c>
      <x:c r="I47" s="24" t="str"/>
      <x:c r="J47" s="24" t="str">
        <x:v>☐</x:v>
      </x:c>
      <x:c r="K47" s="24" t="str"/>
      <x:c r="L47" s="24"/>
    </x:row>
    <x:row r="48" ht="26.399999618530273" hidden="0" customHeight="1">
      <x:c r="A48" s="24" t="str">
        <x:v>M04</x:v>
      </x:c>
      <x:c r="B48" s="24" t="str">
        <x:v>Transactional Audit Logging Foundation</x:v>
      </x:c>
      <x:c r="C48" s="24" t="str">
        <x:v>Phase A - Preserve &amp; harden</x:v>
      </x:c>
      <x:c r="D48" s="24" t="str">
        <x:v>P0</x:v>
      </x:c>
      <x:c r="E48" s="24" t="str">
        <x:v>Implementation</x:v>
      </x:c>
      <x:c r="F48" s="24" t="str">
        <x:v>Database</x:v>
      </x:c>
      <x:c r="G48" s="24" t="str">
        <x:v>Add `audit_log(id, actor_user_id, actor_role, action, entity_type, entity_id, before_json, after_json, request_id, created_at)` with indexes on entity and actor/time.</x:v>
      </x:c>
      <x:c r="H48" s="24" t="str">
        <x:v>M01,M03</x:v>
      </x:c>
      <x:c r="I48" s="24" t="str"/>
      <x:c r="J48" s="24" t="str">
        <x:v>☐</x:v>
      </x:c>
      <x:c r="K48" s="24" t="str"/>
      <x:c r="L48" s="24"/>
    </x:row>
    <x:row r="49" ht="26.399999618530273" hidden="0" customHeight="1">
      <x:c r="A49" s="24" t="str">
        <x:v>M04</x:v>
      </x:c>
      <x:c r="B49" s="24" t="str">
        <x:v>Transactional Audit Logging Foundation</x:v>
      </x:c>
      <x:c r="C49" s="24" t="str">
        <x:v>Phase A - Preserve &amp; harden</x:v>
      </x:c>
      <x:c r="D49" s="24" t="str">
        <x:v>P0</x:v>
      </x:c>
      <x:c r="E49" s="24" t="str">
        <x:v>Implementation</x:v>
      </x:c>
      <x:c r="F49" s="24" t="str">
        <x:v>Backend</x:v>
      </x:c>
      <x:c r="G49" s="24" t="str">
        <x:v>Add `auditRepository`/`auditService`; writes must accept the caller transaction connection so the business mutation and audit record commit/rollback together.</x:v>
      </x:c>
      <x:c r="H49" s="24" t="str">
        <x:v>M01,M03</x:v>
      </x:c>
      <x:c r="I49" s="24" t="str"/>
      <x:c r="J49" s="24" t="str">
        <x:v>☐</x:v>
      </x:c>
      <x:c r="K49" s="24" t="str"/>
      <x:c r="L49" s="24"/>
    </x:row>
    <x:row r="50" ht="39.599998474121094" hidden="0" customHeight="1">
      <x:c r="A50" s="24" t="str">
        <x:v>M04</x:v>
      </x:c>
      <x:c r="B50" s="24" t="str">
        <x:v>Transactional Audit Logging Foundation</x:v>
      </x:c>
      <x:c r="C50" s="24" t="str">
        <x:v>Phase A - Preserve &amp; harden</x:v>
      </x:c>
      <x:c r="D50" s="24" t="str">
        <x:v>P0</x:v>
      </x:c>
      <x:c r="E50" s="24" t="str">
        <x:v>Implementation</x:v>
      </x:c>
      <x:c r="F50" s="24" t="str">
        <x:v>Coverage</x:v>
      </x:c>
      <x:c r="G50" s="24" t="str">
        <x:v>Instrument assignment create/release/allocation, project/requirement changes, timesheet submit/edit/review, document verification, candidate decisions, rate changes, milestone changes, invoice transitions and payment records as those modules ship.</x:v>
      </x:c>
      <x:c r="H50" s="24" t="str">
        <x:v>M01,M03</x:v>
      </x:c>
      <x:c r="I50" s="24" t="str"/>
      <x:c r="J50" s="24" t="str">
        <x:v>☐</x:v>
      </x:c>
      <x:c r="K50" s="24" t="str"/>
      <x:c r="L50" s="24"/>
    </x:row>
    <x:row r="51" ht="15" hidden="0" customHeight="1">
      <x:c r="A51" s="24" t="str">
        <x:v>M04</x:v>
      </x:c>
      <x:c r="B51" s="24" t="str">
        <x:v>Transactional Audit Logging Foundation</x:v>
      </x:c>
      <x:c r="C51" s="24" t="str">
        <x:v>Phase A - Preserve &amp; harden</x:v>
      </x:c>
      <x:c r="D51" s="24" t="str">
        <x:v>P0</x:v>
      </x:c>
      <x:c r="E51" s="24" t="str">
        <x:v>Implementation</x:v>
      </x:c>
      <x:c r="F51" s="24" t="str">
        <x:v>Security</x:v>
      </x:c>
      <x:c r="G51" s="24" t="str">
        <x:v>Redact secrets and large binary/document content; audit references metadata/IDs only.</x:v>
      </x:c>
      <x:c r="H51" s="24" t="str">
        <x:v>M01,M03</x:v>
      </x:c>
      <x:c r="I51" s="24" t="str"/>
      <x:c r="J51" s="24" t="str">
        <x:v>☐</x:v>
      </x:c>
      <x:c r="K51" s="24" t="str"/>
      <x:c r="L51" s="24"/>
    </x:row>
    <x:row r="52" ht="26.399999618530273" hidden="0" customHeight="1">
      <x:c r="A52" s="24" t="str">
        <x:v>M04</x:v>
      </x:c>
      <x:c r="B52" s="24" t="str">
        <x:v>Transactional Audit Logging Foundation</x:v>
      </x:c>
      <x:c r="C52" s="24" t="str">
        <x:v>Phase A - Preserve &amp; harden</x:v>
      </x:c>
      <x:c r="D52" s="24" t="str">
        <x:v>P0</x:v>
      </x:c>
      <x:c r="E52" s="24" t="str">
        <x:v>Implementation</x:v>
      </x:c>
      <x:c r="F52" s="24" t="str">
        <x:v>Frontend</x:v>
      </x:c>
      <x:c r="G52" s="24" t="str">
        <x:v>Add an entity-level timeline drawer later for authorized Vendor/PM users; do not expose cross-tenant audit entries.</x:v>
      </x:c>
      <x:c r="H52" s="24" t="str">
        <x:v>M01,M03</x:v>
      </x:c>
      <x:c r="I52" s="24" t="str"/>
      <x:c r="J52" s="24" t="str">
        <x:v>☐</x:v>
      </x:c>
      <x:c r="K52" s="24" t="str"/>
      <x:c r="L52" s="24"/>
    </x:row>
    <x:row r="53" ht="26.399999618530273" hidden="0" customHeight="1">
      <x:c r="A53" s="24" t="str">
        <x:v>M04</x:v>
      </x:c>
      <x:c r="B53" s="24" t="str">
        <x:v>Transactional Audit Logging Foundation</x:v>
      </x:c>
      <x:c r="C53" s="24" t="str">
        <x:v>Phase A - Preserve &amp; harden</x:v>
      </x:c>
      <x:c r="D53" s="24" t="str">
        <x:v>P0</x:v>
      </x:c>
      <x:c r="E53" s="24" t="str">
        <x:v>Implementation</x:v>
      </x:c>
      <x:c r="F53" s="24" t="str">
        <x:v>Tests</x:v>
      </x:c>
      <x:c r="G53" s="24" t="str">
        <x:v>Prove rollback removes the audit row, successful mutation creates exactly one audit record, and before/after payloads match the committed state.</x:v>
      </x:c>
      <x:c r="H53" s="24" t="str">
        <x:v>M01,M03</x:v>
      </x:c>
      <x:c r="I53" s="24" t="str"/>
      <x:c r="J53" s="24" t="str">
        <x:v>☐</x:v>
      </x:c>
      <x:c r="K53" s="24" t="str"/>
      <x:c r="L53" s="24"/>
    </x:row>
    <x:row r="54" ht="15" hidden="0" customHeight="1">
      <x:c r="A54" s="24" t="str">
        <x:v>M04</x:v>
      </x:c>
      <x:c r="B54" s="24" t="str">
        <x:v>Transactional Audit Logging Foundation</x:v>
      </x:c>
      <x:c r="C54" s="24" t="str">
        <x:v>Phase A - Preserve &amp; harden</x:v>
      </x:c>
      <x:c r="D54" s="24" t="str">
        <x:v>P0</x:v>
      </x:c>
      <x:c r="E54" s="24" t="str">
        <x:v>Acceptance</x:v>
      </x:c>
      <x:c r="F54" s="24" t="str">
        <x:v>Acceptance Criteria</x:v>
      </x:c>
      <x:c r="G54" s="24" t="str">
        <x:v>Every critical mutation has an audit record with actor and timestamp.</x:v>
      </x:c>
      <x:c r="H54" s="24" t="str">
        <x:v>M01,M03</x:v>
      </x:c>
      <x:c r="I54" s="24" t="str"/>
      <x:c r="J54" s="24" t="str">
        <x:v>☐</x:v>
      </x:c>
      <x:c r="K54" s="24" t="str"/>
      <x:c r="L54" s="24"/>
    </x:row>
    <x:row r="55" ht="15" hidden="0" customHeight="1">
      <x:c r="A55" s="24" t="str">
        <x:v>M04</x:v>
      </x:c>
      <x:c r="B55" s="24" t="str">
        <x:v>Transactional Audit Logging Foundation</x:v>
      </x:c>
      <x:c r="C55" s="24" t="str">
        <x:v>Phase A - Preserve &amp; harden</x:v>
      </x:c>
      <x:c r="D55" s="24" t="str">
        <x:v>P0</x:v>
      </x:c>
      <x:c r="E55" s="24" t="str">
        <x:v>Acceptance</x:v>
      </x:c>
      <x:c r="F55" s="24" t="str">
        <x:v>Acceptance Criteria</x:v>
      </x:c>
      <x:c r="G55" s="24" t="str">
        <x:v>Audit writes are transactionally consistent with the business change.</x:v>
      </x:c>
      <x:c r="H55" s="24" t="str">
        <x:v>M01,M03</x:v>
      </x:c>
      <x:c r="I55" s="24" t="str"/>
      <x:c r="J55" s="24" t="str">
        <x:v>☐</x:v>
      </x:c>
      <x:c r="K55" s="24" t="str"/>
      <x:c r="L55" s="24"/>
    </x:row>
    <x:row r="56" ht="15" hidden="0" customHeight="1">
      <x:c r="A56" s="24" t="str">
        <x:v>M04</x:v>
      </x:c>
      <x:c r="B56" s="24" t="str">
        <x:v>Transactional Audit Logging Foundation</x:v>
      </x:c>
      <x:c r="C56" s="24" t="str">
        <x:v>Phase A - Preserve &amp; harden</x:v>
      </x:c>
      <x:c r="D56" s="24" t="str">
        <x:v>P0</x:v>
      </x:c>
      <x:c r="E56" s="24" t="str">
        <x:v>Acceptance</x:v>
      </x:c>
      <x:c r="F56" s="24" t="str">
        <x:v>Acceptance Criteria</x:v>
      </x:c>
      <x:c r="G56" s="24" t="str">
        <x:v>Cross-tenant users cannot query another tenant/project audit history.</x:v>
      </x:c>
      <x:c r="H56" s="24" t="str">
        <x:v>M01,M03</x:v>
      </x:c>
      <x:c r="I56" s="24" t="str"/>
      <x:c r="J56" s="24" t="str">
        <x:v>☐</x:v>
      </x:c>
      <x:c r="K56" s="24" t="str"/>
      <x:c r="L56" s="24"/>
    </x:row>
    <x:row r="57" ht="26.399999618530273" hidden="0" customHeight="1">
      <x:c r="A57" s="24" t="str">
        <x:v>M05</x:v>
      </x:c>
      <x:c r="B57" s="24" t="str">
        <x:v>API Scalability, Search/Filtering &amp; API Documentation</x:v>
      </x:c>
      <x:c r="C57" s="24" t="str">
        <x:v>Phase A - Preserve &amp; harden</x:v>
      </x:c>
      <x:c r="D57" s="24" t="str">
        <x:v>P0</x:v>
      </x:c>
      <x:c r="E57" s="24" t="str">
        <x:v>Implementation</x:v>
      </x:c>
      <x:c r="F57" s="24" t="str">
        <x:v>API</x:v>
      </x:c>
      <x:c r="G57" s="24" t="str">
        <x:v>Adopt consistent query parameters: `page`, `pageSize`, `sort`, `order`, plus domain filters. Return `{items,page,page_size,total,total_pages}`.</x:v>
      </x:c>
      <x:c r="H57" s="24" t="str">
        <x:v>M01,M03</x:v>
      </x:c>
      <x:c r="I57" s="24" t="str"/>
      <x:c r="J57" s="24" t="str">
        <x:v>☐</x:v>
      </x:c>
      <x:c r="K57" s="24" t="str"/>
      <x:c r="L57" s="24"/>
    </x:row>
    <x:row r="58" ht="26.399999618530273" hidden="0" customHeight="1">
      <x:c r="A58" s="24" t="str">
        <x:v>M05</x:v>
      </x:c>
      <x:c r="B58" s="24" t="str">
        <x:v>API Scalability, Search/Filtering &amp; API Documentation</x:v>
      </x:c>
      <x:c r="C58" s="24" t="str">
        <x:v>Phase A - Preserve &amp; harden</x:v>
      </x:c>
      <x:c r="D58" s="24" t="str">
        <x:v>P0</x:v>
      </x:c>
      <x:c r="E58" s="24" t="str">
        <x:v>Implementation</x:v>
      </x:c>
      <x:c r="F58" s="24" t="str">
        <x:v>Database</x:v>
      </x:c>
      <x:c r="G58" s="24" t="str">
        <x:v>Add/verify composite indexes supporting vendor+status/skill, project+status/date, timesheet+project/status/date, invoice+vendor/status/date and candidate pipeline later.</x:v>
      </x:c>
      <x:c r="H58" s="24" t="str">
        <x:v>M01,M03</x:v>
      </x:c>
      <x:c r="I58" s="24" t="str"/>
      <x:c r="J58" s="24" t="str">
        <x:v>☐</x:v>
      </x:c>
      <x:c r="K58" s="24" t="str"/>
      <x:c r="L58" s="24"/>
    </x:row>
    <x:row r="59" ht="26.399999618530273" hidden="0" customHeight="1">
      <x:c r="A59" s="24" t="str">
        <x:v>M05</x:v>
      </x:c>
      <x:c r="B59" s="24" t="str">
        <x:v>API Scalability, Search/Filtering &amp; API Documentation</x:v>
      </x:c>
      <x:c r="C59" s="24" t="str">
        <x:v>Phase A - Preserve &amp; harden</x:v>
      </x:c>
      <x:c r="D59" s="24" t="str">
        <x:v>P0</x:v>
      </x:c>
      <x:c r="E59" s="24" t="str">
        <x:v>Implementation</x:v>
      </x:c>
      <x:c r="F59" s="24" t="str">
        <x:v>Search</x:v>
      </x:c>
      <x:c r="G59" s="24" t="str">
        <x:v>Contractors: name/email/skill/status; projects: name/client/status/date; timesheets: project/contractor/status/date; invoices: project/status/date/number when introduced.</x:v>
      </x:c>
      <x:c r="H59" s="24" t="str">
        <x:v>M01,M03</x:v>
      </x:c>
      <x:c r="I59" s="24" t="str"/>
      <x:c r="J59" s="24" t="str">
        <x:v>☐</x:v>
      </x:c>
      <x:c r="K59" s="24" t="str"/>
      <x:c r="L59" s="24"/>
    </x:row>
    <x:row r="60" ht="26.399999618530273" hidden="0" customHeight="1">
      <x:c r="A60" s="24" t="str">
        <x:v>M05</x:v>
      </x:c>
      <x:c r="B60" s="24" t="str">
        <x:v>API Scalability, Search/Filtering &amp; API Documentation</x:v>
      </x:c>
      <x:c r="C60" s="24" t="str">
        <x:v>Phase A - Preserve &amp; harden</x:v>
      </x:c>
      <x:c r="D60" s="24" t="str">
        <x:v>P0</x:v>
      </x:c>
      <x:c r="E60" s="24" t="str">
        <x:v>Implementation</x:v>
      </x:c>
      <x:c r="F60" s="24" t="str">
        <x:v>Backend</x:v>
      </x:c>
      <x:c r="G60" s="24" t="str">
        <x:v>Move filtering/pagination into repository SQL; never fetch-all then filter in JavaScript.</x:v>
      </x:c>
      <x:c r="H60" s="24" t="str">
        <x:v>M01,M03</x:v>
      </x:c>
      <x:c r="I60" s="24" t="str"/>
      <x:c r="J60" s="24" t="str">
        <x:v>☐</x:v>
      </x:c>
      <x:c r="K60" s="24" t="str"/>
      <x:c r="L60" s="24"/>
    </x:row>
    <x:row r="61" ht="26.399999618530273" hidden="0" customHeight="1">
      <x:c r="A61" s="24" t="str">
        <x:v>M05</x:v>
      </x:c>
      <x:c r="B61" s="24" t="str">
        <x:v>API Scalability, Search/Filtering &amp; API Documentation</x:v>
      </x:c>
      <x:c r="C61" s="24" t="str">
        <x:v>Phase A - Preserve &amp; harden</x:v>
      </x:c>
      <x:c r="D61" s="24" t="str">
        <x:v>P0</x:v>
      </x:c>
      <x:c r="E61" s="24" t="str">
        <x:v>Implementation</x:v>
      </x:c>
      <x:c r="F61" s="24" t="str">
        <x:v>Frontend</x:v>
      </x:c>
      <x:c r="G61" s="24" t="str">
        <x:v>Reusable table/list filter bar, debounced text search, URL-synced filters, empty/loading/error states and pagination controls.</x:v>
      </x:c>
      <x:c r="H61" s="24" t="str">
        <x:v>M01,M03</x:v>
      </x:c>
      <x:c r="I61" s="24" t="str"/>
      <x:c r="J61" s="24" t="str">
        <x:v>☐</x:v>
      </x:c>
      <x:c r="K61" s="24" t="str"/>
      <x:c r="L61" s="24"/>
    </x:row>
    <x:row r="62" ht="26.399999618530273" hidden="0" customHeight="1">
      <x:c r="A62" s="24" t="str">
        <x:v>M05</x:v>
      </x:c>
      <x:c r="B62" s="24" t="str">
        <x:v>API Scalability, Search/Filtering &amp; API Documentation</x:v>
      </x:c>
      <x:c r="C62" s="24" t="str">
        <x:v>Phase A - Preserve &amp; harden</x:v>
      </x:c>
      <x:c r="D62" s="24" t="str">
        <x:v>P0</x:v>
      </x:c>
      <x:c r="E62" s="24" t="str">
        <x:v>Implementation</x:v>
      </x:c>
      <x:c r="F62" s="24" t="str">
        <x:v>Docs</x:v>
      </x:c>
      <x:c r="G62" s="24" t="str">
        <x:v>Add OpenAPI specification and generated/checked API examples for every route; document auth requirements and error codes.</x:v>
      </x:c>
      <x:c r="H62" s="24" t="str">
        <x:v>M01,M03</x:v>
      </x:c>
      <x:c r="I62" s="24" t="str"/>
      <x:c r="J62" s="24" t="str">
        <x:v>☐</x:v>
      </x:c>
      <x:c r="K62" s="24" t="str"/>
      <x:c r="L62" s="24"/>
    </x:row>
    <x:row r="63" ht="26.399999618530273" hidden="0" customHeight="1">
      <x:c r="A63" s="24" t="str">
        <x:v>M05</x:v>
      </x:c>
      <x:c r="B63" s="24" t="str">
        <x:v>API Scalability, Search/Filtering &amp; API Documentation</x:v>
      </x:c>
      <x:c r="C63" s="24" t="str">
        <x:v>Phase A - Preserve &amp; harden</x:v>
      </x:c>
      <x:c r="D63" s="24" t="str">
        <x:v>P0</x:v>
      </x:c>
      <x:c r="E63" s="24" t="str">
        <x:v>Implementation</x:v>
      </x:c>
      <x:c r="F63" s="24" t="str">
        <x:v>Tests</x:v>
      </x:c>
      <x:c r="G63" s="24" t="str">
        <x:v>Verify pagination totals, filter combinations, stable sort, authorization scoping and index-friendly query shapes.</x:v>
      </x:c>
      <x:c r="H63" s="24" t="str">
        <x:v>M01,M03</x:v>
      </x:c>
      <x:c r="I63" s="24" t="str"/>
      <x:c r="J63" s="24" t="str">
        <x:v>☐</x:v>
      </x:c>
      <x:c r="K63" s="24" t="str"/>
      <x:c r="L63" s="24"/>
    </x:row>
    <x:row r="64" ht="26.399999618530273" hidden="0" customHeight="1">
      <x:c r="A64" s="24" t="str">
        <x:v>M05</x:v>
      </x:c>
      <x:c r="B64" s="24" t="str">
        <x:v>API Scalability, Search/Filtering &amp; API Documentation</x:v>
      </x:c>
      <x:c r="C64" s="24" t="str">
        <x:v>Phase A - Preserve &amp; harden</x:v>
      </x:c>
      <x:c r="D64" s="24" t="str">
        <x:v>P0</x:v>
      </x:c>
      <x:c r="E64" s="24" t="str">
        <x:v>Acceptance</x:v>
      </x:c>
      <x:c r="F64" s="24" t="str">
        <x:v>Acceptance Criteria</x:v>
      </x:c>
      <x:c r="G64" s="24" t="str">
        <x:v>No main list endpoint is unbounded.</x:v>
      </x:c>
      <x:c r="H64" s="24" t="str">
        <x:v>M01,M03</x:v>
      </x:c>
      <x:c r="I64" s="24" t="str"/>
      <x:c r="J64" s="24" t="str">
        <x:v>☐</x:v>
      </x:c>
      <x:c r="K64" s="24" t="str"/>
      <x:c r="L64" s="24"/>
    </x:row>
    <x:row r="65" ht="26.399999618530273" hidden="0" customHeight="1">
      <x:c r="A65" s="24" t="str">
        <x:v>M05</x:v>
      </x:c>
      <x:c r="B65" s="24" t="str">
        <x:v>API Scalability, Search/Filtering &amp; API Documentation</x:v>
      </x:c>
      <x:c r="C65" s="24" t="str">
        <x:v>Phase A - Preserve &amp; harden</x:v>
      </x:c>
      <x:c r="D65" s="24" t="str">
        <x:v>P0</x:v>
      </x:c>
      <x:c r="E65" s="24" t="str">
        <x:v>Acceptance</x:v>
      </x:c>
      <x:c r="F65" s="24" t="str">
        <x:v>Acceptance Criteria</x:v>
      </x:c>
      <x:c r="G65" s="24" t="str">
        <x:v>Filters remain tenant-scoped in SQL.</x:v>
      </x:c>
      <x:c r="H65" s="24" t="str">
        <x:v>M01,M03</x:v>
      </x:c>
      <x:c r="I65" s="24" t="str"/>
      <x:c r="J65" s="24" t="str">
        <x:v>☐</x:v>
      </x:c>
      <x:c r="K65" s="24" t="str"/>
      <x:c r="L65" s="24"/>
    </x:row>
    <x:row r="66" ht="26.399999618530273" hidden="0" customHeight="1">
      <x:c r="A66" s="24" t="str">
        <x:v>M05</x:v>
      </x:c>
      <x:c r="B66" s="24" t="str">
        <x:v>API Scalability, Search/Filtering &amp; API Documentation</x:v>
      </x:c>
      <x:c r="C66" s="24" t="str">
        <x:v>Phase A - Preserve &amp; harden</x:v>
      </x:c>
      <x:c r="D66" s="24" t="str">
        <x:v>P0</x:v>
      </x:c>
      <x:c r="E66" s="24" t="str">
        <x:v>Acceptance</x:v>
      </x:c>
      <x:c r="F66" s="24" t="str">
        <x:v>Acceptance Criteria</x:v>
      </x:c>
      <x:c r="G66" s="24" t="str">
        <x:v>API documentation matches implemented routes and payloads.</x:v>
      </x:c>
      <x:c r="H66" s="24" t="str">
        <x:v>M01,M03</x:v>
      </x:c>
      <x:c r="I66" s="24" t="str"/>
      <x:c r="J66" s="24" t="str">
        <x:v>☐</x:v>
      </x:c>
      <x:c r="K66" s="24" t="str"/>
      <x:c r="L66" s="24"/>
    </x:row>
    <x:row r="67" ht="26.399999618530273" hidden="0" customHeight="1">
      <x:c r="A67" s="24" t="str">
        <x:v>M06</x:v>
      </x:c>
      <x:c r="B67" s="24" t="str">
        <x:v>Timesheet Workflow Completion</x:v>
      </x:c>
      <x:c r="C67" s="24" t="str">
        <x:v>Phase B - Workforce operations</x:v>
      </x:c>
      <x:c r="D67" s="24" t="str">
        <x:v>P1</x:v>
      </x:c>
      <x:c r="E67" s="24" t="str">
        <x:v>Implementation</x:v>
      </x:c>
      <x:c r="F67" s="24" t="str">
        <x:v>Database</x:v>
      </x:c>
      <x:c r="G67" s="24" t="str">
        <x:v>Add `description`, `rejection_reason`, explicit `submitted_at`; migrate status enum to `DRAFT,SUBMITTED,APPROVED,REJECTED` and map existing PENDING -&gt; SUBMITTED.</x:v>
      </x:c>
      <x:c r="H67" s="24" t="str">
        <x:v>M01,M04,M05</x:v>
      </x:c>
      <x:c r="I67" s="24" t="str"/>
      <x:c r="J67" s="24" t="str">
        <x:v>☐</x:v>
      </x:c>
      <x:c r="K67" s="24" t="str"/>
      <x:c r="L67" s="24"/>
    </x:row>
    <x:row r="68" ht="26.399999618530273" hidden="0" customHeight="1">
      <x:c r="A68" s="24" t="str">
        <x:v>M06</x:v>
      </x:c>
      <x:c r="B68" s="24" t="str">
        <x:v>Timesheet Workflow Completion</x:v>
      </x:c>
      <x:c r="C68" s="24" t="str">
        <x:v>Phase B - Workforce operations</x:v>
      </x:c>
      <x:c r="D68" s="24" t="str">
        <x:v>P1</x:v>
      </x:c>
      <x:c r="E68" s="24" t="str">
        <x:v>Implementation</x:v>
      </x:c>
      <x:c r="F68" s="24" t="str">
        <x:v>Contractor API</x:v>
      </x:c>
      <x:c r="G68" s="24" t="str">
        <x:v>Allow save/edit DRAFT entries; add submit-week/submit-selected action that atomically transitions owned DRAFT/REJECTED rows to SUBMITTED after validation.</x:v>
      </x:c>
      <x:c r="H68" s="24" t="str">
        <x:v>M01,M04,M05</x:v>
      </x:c>
      <x:c r="I68" s="24" t="str"/>
      <x:c r="J68" s="24" t="str">
        <x:v>☐</x:v>
      </x:c>
      <x:c r="K68" s="24" t="str"/>
      <x:c r="L68" s="24"/>
    </x:row>
    <x:row r="69" ht="26.399999618530273" hidden="0" customHeight="1">
      <x:c r="A69" s="24" t="str">
        <x:v>M06</x:v>
      </x:c>
      <x:c r="B69" s="24" t="str">
        <x:v>Timesheet Workflow Completion</x:v>
      </x:c>
      <x:c r="C69" s="24" t="str">
        <x:v>Phase B - Workforce operations</x:v>
      </x:c>
      <x:c r="D69" s="24" t="str">
        <x:v>P1</x:v>
      </x:c>
      <x:c r="E69" s="24" t="str">
        <x:v>Implementation</x:v>
      </x:c>
      <x:c r="F69" s="24" t="str">
        <x:v>PM API</x:v>
      </x:c>
      <x:c r="G69" s="24" t="str">
        <x:v>List SUBMITTED rows; require non-blank rejection reason for REJECTED; add bulk approve/reject for selected entries with deterministic lock ordering by timesheet id.</x:v>
      </x:c>
      <x:c r="H69" s="24" t="str">
        <x:v>M01,M04,M05</x:v>
      </x:c>
      <x:c r="I69" s="24" t="str"/>
      <x:c r="J69" s="24" t="str">
        <x:v>☐</x:v>
      </x:c>
      <x:c r="K69" s="24" t="str"/>
      <x:c r="L69" s="24"/>
    </x:row>
    <x:row r="70" ht="39.599998474121094" hidden="0" customHeight="1">
      <x:c r="A70" s="24" t="str">
        <x:v>M06</x:v>
      </x:c>
      <x:c r="B70" s="24" t="str">
        <x:v>Timesheet Workflow Completion</x:v>
      </x:c>
      <x:c r="C70" s="24" t="str">
        <x:v>Phase B - Workforce operations</x:v>
      </x:c>
      <x:c r="D70" s="24" t="str">
        <x:v>P1</x:v>
      </x:c>
      <x:c r="E70" s="24" t="str">
        <x:v>Implementation</x:v>
      </x:c>
      <x:c r="F70" s="24" t="str">
        <x:v>Business rules</x:v>
      </x:c>
      <x:c r="G70" s="24" t="str">
        <x:v>Keep project/date/allocation validation server-side; APPROVED rows immutable; rejected rows editable by owner; resubmission clears prior review fields while preserving audit history.</x:v>
      </x:c>
      <x:c r="H70" s="24" t="str">
        <x:v>M01,M04,M05</x:v>
      </x:c>
      <x:c r="I70" s="24" t="str"/>
      <x:c r="J70" s="24" t="str">
        <x:v>☐</x:v>
      </x:c>
      <x:c r="K70" s="24" t="str"/>
      <x:c r="L70" s="24"/>
    </x:row>
    <x:row r="71" ht="39.599998474121094" hidden="0" customHeight="1">
      <x:c r="A71" s="24" t="str">
        <x:v>M06</x:v>
      </x:c>
      <x:c r="B71" s="24" t="str">
        <x:v>Timesheet Workflow Completion</x:v>
      </x:c>
      <x:c r="C71" s="24" t="str">
        <x:v>Phase B - Workforce operations</x:v>
      </x:c>
      <x:c r="D71" s="24" t="str">
        <x:v>P1</x:v>
      </x:c>
      <x:c r="E71" s="24" t="str">
        <x:v>Implementation</x:v>
      </x:c>
      <x:c r="F71" s="24" t="str">
        <x:v>Policies</x:v>
      </x:c>
      <x:c r="G71" s="24" t="str">
        <x:v>Retain current 24h/day ceiling initially; add hooks for project-specific daily/weekly/weekend/backdate policies in M10 rather than hard-coding a universal 40h week.</x:v>
      </x:c>
      <x:c r="H71" s="24" t="str">
        <x:v>M01,M04,M05</x:v>
      </x:c>
      <x:c r="I71" s="24" t="str"/>
      <x:c r="J71" s="24" t="str">
        <x:v>☐</x:v>
      </x:c>
      <x:c r="K71" s="24" t="str"/>
      <x:c r="L71" s="24"/>
    </x:row>
    <x:row r="72" ht="26.399999618530273" hidden="0" customHeight="1">
      <x:c r="A72" s="24" t="str">
        <x:v>M06</x:v>
      </x:c>
      <x:c r="B72" s="24" t="str">
        <x:v>Timesheet Workflow Completion</x:v>
      </x:c>
      <x:c r="C72" s="24" t="str">
        <x:v>Phase B - Workforce operations</x:v>
      </x:c>
      <x:c r="D72" s="24" t="str">
        <x:v>P1</x:v>
      </x:c>
      <x:c r="E72" s="24" t="str">
        <x:v>Implementation</x:v>
      </x:c>
      <x:c r="F72" s="24" t="str">
        <x:v>Frontend</x:v>
      </x:c>
      <x:c r="G72" s="24" t="str">
        <x:v>Weekly timesheet workspace: day rows, descriptions, draft state, submit-week action, rejection reason banner, edit/resubmit path, PM bulk review table.</x:v>
      </x:c>
      <x:c r="H72" s="24" t="str">
        <x:v>M01,M04,M05</x:v>
      </x:c>
      <x:c r="I72" s="24" t="str"/>
      <x:c r="J72" s="24" t="str">
        <x:v>☐</x:v>
      </x:c>
      <x:c r="K72" s="24" t="str"/>
      <x:c r="L72" s="24"/>
    </x:row>
    <x:row r="73" ht="26.399999618530273" hidden="0" customHeight="1">
      <x:c r="A73" s="24" t="str">
        <x:v>M06</x:v>
      </x:c>
      <x:c r="B73" s="24" t="str">
        <x:v>Timesheet Workflow Completion</x:v>
      </x:c>
      <x:c r="C73" s="24" t="str">
        <x:v>Phase B - Workforce operations</x:v>
      </x:c>
      <x:c r="D73" s="24" t="str">
        <x:v>P1</x:v>
      </x:c>
      <x:c r="E73" s="24" t="str">
        <x:v>Implementation</x:v>
      </x:c>
      <x:c r="F73" s="24" t="str">
        <x:v>Billing integration</x:v>
      </x:c>
      <x:c r="G73" s="24" t="str">
        <x:v>Milestone evaluation runs only after APPROVED transitions; draft/submitted/rejected hours never become billable.</x:v>
      </x:c>
      <x:c r="H73" s="24" t="str">
        <x:v>M01,M04,M05</x:v>
      </x:c>
      <x:c r="I73" s="24" t="str"/>
      <x:c r="J73" s="24" t="str">
        <x:v>☐</x:v>
      </x:c>
      <x:c r="K73" s="24" t="str"/>
      <x:c r="L73" s="24"/>
    </x:row>
    <x:row r="74" ht="39.599998474121094" hidden="0" customHeight="1">
      <x:c r="A74" s="24" t="str">
        <x:v>M06</x:v>
      </x:c>
      <x:c r="B74" s="24" t="str">
        <x:v>Timesheet Workflow Completion</x:v>
      </x:c>
      <x:c r="C74" s="24" t="str">
        <x:v>Phase B - Workforce operations</x:v>
      </x:c>
      <x:c r="D74" s="24" t="str">
        <x:v>P1</x:v>
      </x:c>
      <x:c r="E74" s="24" t="str">
        <x:v>Implementation</x:v>
      </x:c>
      <x:c r="F74" s="24" t="str">
        <x:v>Tests</x:v>
      </x:c>
      <x:c r="G74" s="24" t="str">
        <x:v>State-transition matrix, rejection reason required, weekly submit ownership, duplicate date, allocation capacity with DRAFT/SUBMITTED reservations, bulk review race safety, resubmission audit.</x:v>
      </x:c>
      <x:c r="H74" s="24" t="str">
        <x:v>M01,M04,M05</x:v>
      </x:c>
      <x:c r="I74" s="24" t="str"/>
      <x:c r="J74" s="24" t="str">
        <x:v>☐</x:v>
      </x:c>
      <x:c r="K74" s="24" t="str"/>
      <x:c r="L74" s="24"/>
    </x:row>
    <x:row r="75" ht="15" hidden="0" customHeight="1">
      <x:c r="A75" s="24" t="str">
        <x:v>M06</x:v>
      </x:c>
      <x:c r="B75" s="24" t="str">
        <x:v>Timesheet Workflow Completion</x:v>
      </x:c>
      <x:c r="C75" s="24" t="str">
        <x:v>Phase B - Workforce operations</x:v>
      </x:c>
      <x:c r="D75" s="24" t="str">
        <x:v>P1</x:v>
      </x:c>
      <x:c r="E75" s="24" t="str">
        <x:v>Acceptance</x:v>
      </x:c>
      <x:c r="F75" s="24" t="str">
        <x:v>Acceptance Criteria</x:v>
      </x:c>
      <x:c r="G75" s="24" t="str">
        <x:v>Contractor can save a week as draft and explicitly submit it.</x:v>
      </x:c>
      <x:c r="H75" s="24" t="str">
        <x:v>M01,M04,M05</x:v>
      </x:c>
      <x:c r="I75" s="24" t="str"/>
      <x:c r="J75" s="24" t="str">
        <x:v>☐</x:v>
      </x:c>
      <x:c r="K75" s="24" t="str"/>
      <x:c r="L75" s="24"/>
    </x:row>
    <x:row r="76" ht="15" hidden="0" customHeight="1">
      <x:c r="A76" s="24" t="str">
        <x:v>M06</x:v>
      </x:c>
      <x:c r="B76" s="24" t="str">
        <x:v>Timesheet Workflow Completion</x:v>
      </x:c>
      <x:c r="C76" s="24" t="str">
        <x:v>Phase B - Workforce operations</x:v>
      </x:c>
      <x:c r="D76" s="24" t="str">
        <x:v>P1</x:v>
      </x:c>
      <x:c r="E76" s="24" t="str">
        <x:v>Acceptance</x:v>
      </x:c>
      <x:c r="F76" s="24" t="str">
        <x:v>Acceptance Criteria</x:v>
      </x:c>
      <x:c r="G76" s="24" t="str">
        <x:v>PM rejection always explains why.</x:v>
      </x:c>
      <x:c r="H76" s="24" t="str">
        <x:v>M01,M04,M05</x:v>
      </x:c>
      <x:c r="I76" s="24" t="str"/>
      <x:c r="J76" s="24" t="str">
        <x:v>☐</x:v>
      </x:c>
      <x:c r="K76" s="24" t="str"/>
      <x:c r="L76" s="24"/>
    </x:row>
    <x:row r="77" ht="15" hidden="0" customHeight="1">
      <x:c r="A77" s="24" t="str">
        <x:v>M06</x:v>
      </x:c>
      <x:c r="B77" s="24" t="str">
        <x:v>Timesheet Workflow Completion</x:v>
      </x:c>
      <x:c r="C77" s="24" t="str">
        <x:v>Phase B - Workforce operations</x:v>
      </x:c>
      <x:c r="D77" s="24" t="str">
        <x:v>P1</x:v>
      </x:c>
      <x:c r="E77" s="24" t="str">
        <x:v>Acceptance</x:v>
      </x:c>
      <x:c r="F77" s="24" t="str">
        <x:v>Acceptance Criteria</x:v>
      </x:c>
      <x:c r="G77" s="24" t="str">
        <x:v>Contractor can correct and resubmit only rejected work.</x:v>
      </x:c>
      <x:c r="H77" s="24" t="str">
        <x:v>M01,M04,M05</x:v>
      </x:c>
      <x:c r="I77" s="24" t="str"/>
      <x:c r="J77" s="24" t="str">
        <x:v>☐</x:v>
      </x:c>
      <x:c r="K77" s="24" t="str"/>
      <x:c r="L77" s="24"/>
    </x:row>
    <x:row r="78" ht="15" hidden="0" customHeight="1">
      <x:c r="A78" s="24" t="str">
        <x:v>M06</x:v>
      </x:c>
      <x:c r="B78" s="24" t="str">
        <x:v>Timesheet Workflow Completion</x:v>
      </x:c>
      <x:c r="C78" s="24" t="str">
        <x:v>Phase B - Workforce operations</x:v>
      </x:c>
      <x:c r="D78" s="24" t="str">
        <x:v>P1</x:v>
      </x:c>
      <x:c r="E78" s="24" t="str">
        <x:v>Acceptance</x:v>
      </x:c>
      <x:c r="F78" s="24" t="str">
        <x:v>Acceptance Criteria</x:v>
      </x:c>
      <x:c r="G78" s="24" t="str">
        <x:v>Only approved hours affect milestone/billing.</x:v>
      </x:c>
      <x:c r="H78" s="24" t="str">
        <x:v>M01,M04,M05</x:v>
      </x:c>
      <x:c r="I78" s="24" t="str"/>
      <x:c r="J78" s="24" t="str">
        <x:v>☐</x:v>
      </x:c>
      <x:c r="K78" s="24" t="str"/>
      <x:c r="L78" s="24"/>
    </x:row>
    <x:row r="79" ht="39.599998474121094" hidden="0" customHeight="1">
      <x:c r="A79" s="24" t="str">
        <x:v>M07</x:v>
      </x:c>
      <x:c r="B79" s="24" t="str">
        <x:v>Contractor Profile &amp; Multi-Skill Model</x:v>
      </x:c>
      <x:c r="C79" s="24" t="str">
        <x:v>Phase B - Workforce operations</x:v>
      </x:c>
      <x:c r="D79" s="24" t="str">
        <x:v>P1</x:v>
      </x:c>
      <x:c r="E79" s="24" t="str">
        <x:v>Implementation</x:v>
      </x:c>
      <x:c r="F79" s="24" t="str">
        <x:v>Database</x:v>
      </x:c>
      <x:c r="G79" s="24" t="str">
        <x:v>Add `skills` catalog and `contractor_skills(contractor_id, skill_id, proficiency, years_experience, is_primary)`; backfill current FRONTEND/BACKEND/QA/DEVOPS/DATA values.</x:v>
      </x:c>
      <x:c r="H79" s="24" t="str">
        <x:v>M01,M05</x:v>
      </x:c>
      <x:c r="I79" s="24" t="str"/>
      <x:c r="J79" s="24" t="str">
        <x:v>☐</x:v>
      </x:c>
      <x:c r="K79" s="24" t="str"/>
      <x:c r="L79" s="24"/>
    </x:row>
    <x:row r="80" ht="26.399999618530273" hidden="0" customHeight="1">
      <x:c r="A80" s="24" t="str">
        <x:v>M07</x:v>
      </x:c>
      <x:c r="B80" s="24" t="str">
        <x:v>Contractor Profile &amp; Multi-Skill Model</x:v>
      </x:c>
      <x:c r="C80" s="24" t="str">
        <x:v>Phase B - Workforce operations</x:v>
      </x:c>
      <x:c r="D80" s="24" t="str">
        <x:v>P1</x:v>
      </x:c>
      <x:c r="E80" s="24" t="str">
        <x:v>Implementation</x:v>
      </x:c>
      <x:c r="F80" s="24" t="str">
        <x:v>Migration</x:v>
      </x:c>
      <x:c r="G80" s="24" t="str">
        <x:v>Add `skill_id` to project requirements, backfill from existing enum, update queries, then drop/retire enum columns only after parity tests.</x:v>
      </x:c>
      <x:c r="H80" s="24" t="str">
        <x:v>M01,M05</x:v>
      </x:c>
      <x:c r="I80" s="24" t="str"/>
      <x:c r="J80" s="24" t="str">
        <x:v>☐</x:v>
      </x:c>
      <x:c r="K80" s="24" t="str"/>
      <x:c r="L80" s="24"/>
    </x:row>
    <x:row r="81" ht="26.399999618530273" hidden="0" customHeight="1">
      <x:c r="A81" s="24" t="str">
        <x:v>M07</x:v>
      </x:c>
      <x:c r="B81" s="24" t="str">
        <x:v>Contractor Profile &amp; Multi-Skill Model</x:v>
      </x:c>
      <x:c r="C81" s="24" t="str">
        <x:v>Phase B - Workforce operations</x:v>
      </x:c>
      <x:c r="D81" s="24" t="str">
        <x:v>P1</x:v>
      </x:c>
      <x:c r="E81" s="24" t="str">
        <x:v>Implementation</x:v>
      </x:c>
      <x:c r="F81" s="24" t="str">
        <x:v>Profile</x:v>
      </x:c>
      <x:c r="G81" s="24" t="str">
        <x:v>Add phone, headline/role, total experience years and optional notes; keep only business-relevant fields.</x:v>
      </x:c>
      <x:c r="H81" s="24" t="str">
        <x:v>M01,M05</x:v>
      </x:c>
      <x:c r="I81" s="24" t="str"/>
      <x:c r="J81" s="24" t="str">
        <x:v>☐</x:v>
      </x:c>
      <x:c r="K81" s="24" t="str"/>
      <x:c r="L81" s="24"/>
    </x:row>
    <x:row r="82" ht="39.599998474121094" hidden="0" customHeight="1">
      <x:c r="A82" s="24" t="str">
        <x:v>M07</x:v>
      </x:c>
      <x:c r="B82" s="24" t="str">
        <x:v>Contractor Profile &amp; Multi-Skill Model</x:v>
      </x:c>
      <x:c r="C82" s="24" t="str">
        <x:v>Phase B - Workforce operations</x:v>
      </x:c>
      <x:c r="D82" s="24" t="str">
        <x:v>P1</x:v>
      </x:c>
      <x:c r="E82" s="24" t="str">
        <x:v>Implementation</x:v>
      </x:c>
      <x:c r="F82" s="24" t="str">
        <x:v>Backend</x:v>
      </x:c>
      <x:c r="G82" s="24" t="str">
        <x:v>Repositories/services for skill catalog and contractor skill CRUD; vendor can manage profile fields, contractor can maintain allowed self-service fields based on a documented ownership matrix.</x:v>
      </x:c>
      <x:c r="H82" s="24" t="str">
        <x:v>M01,M05</x:v>
      </x:c>
      <x:c r="I82" s="24" t="str"/>
      <x:c r="J82" s="24" t="str">
        <x:v>☐</x:v>
      </x:c>
      <x:c r="K82" s="24" t="str"/>
      <x:c r="L82" s="24"/>
    </x:row>
    <x:row r="83" ht="26.399999618530273" hidden="0" customHeight="1">
      <x:c r="A83" s="24" t="str">
        <x:v>M07</x:v>
      </x:c>
      <x:c r="B83" s="24" t="str">
        <x:v>Contractor Profile &amp; Multi-Skill Model</x:v>
      </x:c>
      <x:c r="C83" s="24" t="str">
        <x:v>Phase B - Workforce operations</x:v>
      </x:c>
      <x:c r="D83" s="24" t="str">
        <x:v>P1</x:v>
      </x:c>
      <x:c r="E83" s="24" t="str">
        <x:v>Implementation</x:v>
      </x:c>
      <x:c r="F83" s="24" t="str">
        <x:v>Matching</x:v>
      </x:c>
      <x:c r="G83" s="24" t="str">
        <x:v>Eligible-contractor queries match any verified contractor skill rather than one equality field; primary skill is presentation only.</x:v>
      </x:c>
      <x:c r="H83" s="24" t="str">
        <x:v>M01,M05</x:v>
      </x:c>
      <x:c r="I83" s="24" t="str"/>
      <x:c r="J83" s="24" t="str">
        <x:v>☐</x:v>
      </x:c>
      <x:c r="K83" s="24" t="str"/>
      <x:c r="L83" s="24"/>
    </x:row>
    <x:row r="84" ht="26.399999618530273" hidden="0" customHeight="1">
      <x:c r="A84" s="24" t="str">
        <x:v>M07</x:v>
      </x:c>
      <x:c r="B84" s="24" t="str">
        <x:v>Contractor Profile &amp; Multi-Skill Model</x:v>
      </x:c>
      <x:c r="C84" s="24" t="str">
        <x:v>Phase B - Workforce operations</x:v>
      </x:c>
      <x:c r="D84" s="24" t="str">
        <x:v>P1</x:v>
      </x:c>
      <x:c r="E84" s="24" t="str">
        <x:v>Implementation</x:v>
      </x:c>
      <x:c r="F84" s="24" t="str">
        <x:v>Frontend</x:v>
      </x:c>
      <x:c r="G84" s="24" t="str">
        <x:v>Contractor detail/profile with skill chips, proficiency, experience; vendor filters by multiple skills.</x:v>
      </x:c>
      <x:c r="H84" s="24" t="str">
        <x:v>M01,M05</x:v>
      </x:c>
      <x:c r="I84" s="24" t="str"/>
      <x:c r="J84" s="24" t="str">
        <x:v>☐</x:v>
      </x:c>
      <x:c r="K84" s="24" t="str"/>
      <x:c r="L84" s="24"/>
    </x:row>
    <x:row r="85" ht="26.399999618530273" hidden="0" customHeight="1">
      <x:c r="A85" s="24" t="str">
        <x:v>M07</x:v>
      </x:c>
      <x:c r="B85" s="24" t="str">
        <x:v>Contractor Profile &amp; Multi-Skill Model</x:v>
      </x:c>
      <x:c r="C85" s="24" t="str">
        <x:v>Phase B - Workforce operations</x:v>
      </x:c>
      <x:c r="D85" s="24" t="str">
        <x:v>P1</x:v>
      </x:c>
      <x:c r="E85" s="24" t="str">
        <x:v>Implementation</x:v>
      </x:c>
      <x:c r="F85" s="24" t="str">
        <x:v>Tests</x:v>
      </x:c>
      <x:c r="G85" s="24" t="str">
        <x:v>Backfill parity, duplicate skill prevention, ownership, skill add/remove effect on future eligibility only.</x:v>
      </x:c>
      <x:c r="H85" s="24" t="str">
        <x:v>M01,M05</x:v>
      </x:c>
      <x:c r="I85" s="24" t="str"/>
      <x:c r="J85" s="24" t="str">
        <x:v>☐</x:v>
      </x:c>
      <x:c r="K85" s="24" t="str"/>
      <x:c r="L85" s="24"/>
    </x:row>
    <x:row r="86" ht="15" hidden="0" customHeight="1">
      <x:c r="A86" s="24" t="str">
        <x:v>M07</x:v>
      </x:c>
      <x:c r="B86" s="24" t="str">
        <x:v>Contractor Profile &amp; Multi-Skill Model</x:v>
      </x:c>
      <x:c r="C86" s="24" t="str">
        <x:v>Phase B - Workforce operations</x:v>
      </x:c>
      <x:c r="D86" s="24" t="str">
        <x:v>P1</x:v>
      </x:c>
      <x:c r="E86" s="24" t="str">
        <x:v>Acceptance</x:v>
      </x:c>
      <x:c r="F86" s="24" t="str">
        <x:v>Acceptance Criteria</x:v>
      </x:c>
      <x:c r="G86" s="24" t="str">
        <x:v>A contractor can hold multiple skills with proficiency/experience.</x:v>
      </x:c>
      <x:c r="H86" s="24" t="str">
        <x:v>M01,M05</x:v>
      </x:c>
      <x:c r="I86" s="24" t="str"/>
      <x:c r="J86" s="24" t="str">
        <x:v>☐</x:v>
      </x:c>
      <x:c r="K86" s="24" t="str"/>
      <x:c r="L86" s="24"/>
    </x:row>
    <x:row r="87" ht="15" hidden="0" customHeight="1">
      <x:c r="A87" s="24" t="str">
        <x:v>M07</x:v>
      </x:c>
      <x:c r="B87" s="24" t="str">
        <x:v>Contractor Profile &amp; Multi-Skill Model</x:v>
      </x:c>
      <x:c r="C87" s="24" t="str">
        <x:v>Phase B - Workforce operations</x:v>
      </x:c>
      <x:c r="D87" s="24" t="str">
        <x:v>P1</x:v>
      </x:c>
      <x:c r="E87" s="24" t="str">
        <x:v>Acceptance</x:v>
      </x:c>
      <x:c r="F87" s="24" t="str">
        <x:v>Acceptance Criteria</x:v>
      </x:c>
      <x:c r="G87" s="24" t="str">
        <x:v>Existing requirements continue matching after migration.</x:v>
      </x:c>
      <x:c r="H87" s="24" t="str">
        <x:v>M01,M05</x:v>
      </x:c>
      <x:c r="I87" s="24" t="str"/>
      <x:c r="J87" s="24" t="str">
        <x:v>☐</x:v>
      </x:c>
      <x:c r="K87" s="24" t="str"/>
      <x:c r="L87" s="24"/>
    </x:row>
    <x:row r="88" ht="15" hidden="0" customHeight="1">
      <x:c r="A88" s="24" t="str">
        <x:v>M07</x:v>
      </x:c>
      <x:c r="B88" s="24" t="str">
        <x:v>Contractor Profile &amp; Multi-Skill Model</x:v>
      </x:c>
      <x:c r="C88" s="24" t="str">
        <x:v>Phase B - Workforce operations</x:v>
      </x:c>
      <x:c r="D88" s="24" t="str">
        <x:v>P1</x:v>
      </x:c>
      <x:c r="E88" s="24" t="str">
        <x:v>Acceptance</x:v>
      </x:c>
      <x:c r="F88" s="24" t="str">
        <x:v>Acceptance Criteria</x:v>
      </x:c>
      <x:c r="G88" s="24" t="str">
        <x:v>Changing skills never rewrites historical assignment/billing records.</x:v>
      </x:c>
      <x:c r="H88" s="24" t="str">
        <x:v>M01,M05</x:v>
      </x:c>
      <x:c r="I88" s="24" t="str"/>
      <x:c r="J88" s="24" t="str">
        <x:v>☐</x:v>
      </x:c>
      <x:c r="K88" s="24" t="str"/>
      <x:c r="L88" s="24"/>
    </x:row>
    <x:row r="89" ht="39.599998474121094" hidden="0" customHeight="1">
      <x:c r="A89" s="24" t="str">
        <x:v>M08</x:v>
      </x:c>
      <x:c r="B89" s="24" t="str">
        <x:v>Contractor Document Verification &amp; Compliance Gate</x:v>
      </x:c>
      <x:c r="C89" s="24" t="str">
        <x:v>Phase B - Workforce operations</x:v>
      </x:c>
      <x:c r="D89" s="24" t="str">
        <x:v>P1</x:v>
      </x:c>
      <x:c r="E89" s="24" t="str">
        <x:v>Implementation</x:v>
      </x:c>
      <x:c r="F89" s="24" t="str">
        <x:v>Database</x:v>
      </x:c>
      <x:c r="G89" s="24" t="str">
        <x:v>Add `contractor_documents` with type, storage key/url, status PENDING/VERIFIED/REJECTED/EXPIRED, expiry_date, verified_by, verified_at, rejection_reason, timestamps.</x:v>
      </x:c>
      <x:c r="H89" s="24" t="str">
        <x:v>M04,M07</x:v>
      </x:c>
      <x:c r="I89" s="24" t="str"/>
      <x:c r="J89" s="24" t="str">
        <x:v>☐</x:v>
      </x:c>
      <x:c r="K89" s="24" t="str"/>
      <x:c r="L89" s="24"/>
    </x:row>
    <x:row r="90" ht="26.399999618530273" hidden="0" customHeight="1">
      <x:c r="A90" s="24" t="str">
        <x:v>M08</x:v>
      </x:c>
      <x:c r="B90" s="24" t="str">
        <x:v>Contractor Document Verification &amp; Compliance Gate</x:v>
      </x:c>
      <x:c r="C90" s="24" t="str">
        <x:v>Phase B - Workforce operations</x:v>
      </x:c>
      <x:c r="D90" s="24" t="str">
        <x:v>P1</x:v>
      </x:c>
      <x:c r="E90" s="24" t="str">
        <x:v>Implementation</x:v>
      </x:c>
      <x:c r="F90" s="24" t="str">
        <x:v>Policy</x:v>
      </x:c>
      <x:c r="G90" s="24" t="str">
        <x:v>Define a small required-document catalog (e.g. ID, PAN/tax, qualification/experience as configured) and derive overall contractor compliance status from required docs.</x:v>
      </x:c>
      <x:c r="H90" s="24" t="str">
        <x:v>M04,M07</x:v>
      </x:c>
      <x:c r="I90" s="24" t="str"/>
      <x:c r="J90" s="24" t="str">
        <x:v>☐</x:v>
      </x:c>
      <x:c r="K90" s="24" t="str"/>
      <x:c r="L90" s="24"/>
    </x:row>
    <x:row r="91" ht="26.399999618530273" hidden="0" customHeight="1">
      <x:c r="A91" s="24" t="str">
        <x:v>M08</x:v>
      </x:c>
      <x:c r="B91" s="24" t="str">
        <x:v>Contractor Document Verification &amp; Compliance Gate</x:v>
      </x:c>
      <x:c r="C91" s="24" t="str">
        <x:v>Phase B - Workforce operations</x:v>
      </x:c>
      <x:c r="D91" s="24" t="str">
        <x:v>P1</x:v>
      </x:c>
      <x:c r="E91" s="24" t="str">
        <x:v>Implementation</x:v>
      </x:c>
      <x:c r="F91" s="24" t="str">
        <x:v>Storage</x:v>
      </x:c>
      <x:c r="G91" s="24" t="str">
        <x:v>Create a storage abstraction; local/dev driver for portfolio use and object-storage compatible interface for production. Persist metadata, not binaries, in MySQL.</x:v>
      </x:c>
      <x:c r="H91" s="24" t="str">
        <x:v>M04,M07</x:v>
      </x:c>
      <x:c r="I91" s="24" t="str"/>
      <x:c r="J91" s="24" t="str">
        <x:v>☐</x:v>
      </x:c>
      <x:c r="K91" s="24" t="str"/>
      <x:c r="L91" s="24"/>
    </x:row>
    <x:row r="92" ht="26.399999618530273" hidden="0" customHeight="1">
      <x:c r="A92" s="24" t="str">
        <x:v>M08</x:v>
      </x:c>
      <x:c r="B92" s="24" t="str">
        <x:v>Contractor Document Verification &amp; Compliance Gate</x:v>
      </x:c>
      <x:c r="C92" s="24" t="str">
        <x:v>Phase B - Workforce operations</x:v>
      </x:c>
      <x:c r="D92" s="24" t="str">
        <x:v>P1</x:v>
      </x:c>
      <x:c r="E92" s="24" t="str">
        <x:v>Implementation</x:v>
      </x:c>
      <x:c r="F92" s="24" t="str">
        <x:v>Security</x:v>
      </x:c>
      <x:c r="G92" s="24" t="str">
        <x:v>Validate extension/MIME/content signature, size limits and authorization; use signed/authorized downloads, never public raw paths.</x:v>
      </x:c>
      <x:c r="H92" s="24" t="str">
        <x:v>M04,M07</x:v>
      </x:c>
      <x:c r="I92" s="24" t="str"/>
      <x:c r="J92" s="24" t="str">
        <x:v>☐</x:v>
      </x:c>
      <x:c r="K92" s="24" t="str"/>
      <x:c r="L92" s="24"/>
    </x:row>
    <x:row r="93" ht="26.399999618530273" hidden="0" customHeight="1">
      <x:c r="A93" s="24" t="str">
        <x:v>M08</x:v>
      </x:c>
      <x:c r="B93" s="24" t="str">
        <x:v>Contractor Document Verification &amp; Compliance Gate</x:v>
      </x:c>
      <x:c r="C93" s="24" t="str">
        <x:v>Phase B - Workforce operations</x:v>
      </x:c>
      <x:c r="D93" s="24" t="str">
        <x:v>P1</x:v>
      </x:c>
      <x:c r="E93" s="24" t="str">
        <x:v>Implementation</x:v>
      </x:c>
      <x:c r="F93" s="24" t="str">
        <x:v>Backend</x:v>
      </x:c>
      <x:c r="G93" s="24" t="str">
        <x:v>Vendor uploads/manages docs; authorized PM/client may view verification summary but not unrelated vendor private documents. Verification action writes audit record.</x:v>
      </x:c>
      <x:c r="H93" s="24" t="str">
        <x:v>M04,M07</x:v>
      </x:c>
      <x:c r="I93" s="24" t="str"/>
      <x:c r="J93" s="24" t="str">
        <x:v>☐</x:v>
      </x:c>
      <x:c r="K93" s="24" t="str"/>
      <x:c r="L93" s="24"/>
    </x:row>
    <x:row r="94" ht="26.399999618530273" hidden="0" customHeight="1">
      <x:c r="A94" s="24" t="str">
        <x:v>M08</x:v>
      </x:c>
      <x:c r="B94" s="24" t="str">
        <x:v>Contractor Document Verification &amp; Compliance Gate</x:v>
      </x:c>
      <x:c r="C94" s="24" t="str">
        <x:v>Phase B - Workforce operations</x:v>
      </x:c>
      <x:c r="D94" s="24" t="str">
        <x:v>P1</x:v>
      </x:c>
      <x:c r="E94" s="24" t="str">
        <x:v>Implementation</x:v>
      </x:c>
      <x:c r="F94" s="24" t="str">
        <x:v>Eligibility</x:v>
      </x:c>
      <x:c r="G94" s="24" t="str">
        <x:v>Assignment/candidate eligibility rejects contractors whose required compliance status is not VERIFIED or whose required document expires before/during assignment dates.</x:v>
      </x:c>
      <x:c r="H94" s="24" t="str">
        <x:v>M04,M07</x:v>
      </x:c>
      <x:c r="I94" s="24" t="str"/>
      <x:c r="J94" s="24" t="str">
        <x:v>☐</x:v>
      </x:c>
      <x:c r="K94" s="24" t="str"/>
      <x:c r="L94" s="24"/>
    </x:row>
    <x:row r="95" ht="26.399999618530273" hidden="0" customHeight="1">
      <x:c r="A95" s="24" t="str">
        <x:v>M08</x:v>
      </x:c>
      <x:c r="B95" s="24" t="str">
        <x:v>Contractor Document Verification &amp; Compliance Gate</x:v>
      </x:c>
      <x:c r="C95" s="24" t="str">
        <x:v>Phase B - Workforce operations</x:v>
      </x:c>
      <x:c r="D95" s="24" t="str">
        <x:v>P1</x:v>
      </x:c>
      <x:c r="E95" s="24" t="str">
        <x:v>Implementation</x:v>
      </x:c>
      <x:c r="F95" s="24" t="str">
        <x:v>Frontend</x:v>
      </x:c>
      <x:c r="G95" s="24" t="str">
        <x:v>Compliance checklist, upload status, rejection reason, expiry warnings, verification queue.</x:v>
      </x:c>
      <x:c r="H95" s="24" t="str">
        <x:v>M04,M07</x:v>
      </x:c>
      <x:c r="I95" s="24" t="str"/>
      <x:c r="J95" s="24" t="str">
        <x:v>☐</x:v>
      </x:c>
      <x:c r="K95" s="24" t="str"/>
      <x:c r="L95" s="24"/>
    </x:row>
    <x:row r="96" ht="26.399999618530273" hidden="0" customHeight="1">
      <x:c r="A96" s="24" t="str">
        <x:v>M08</x:v>
      </x:c>
      <x:c r="B96" s="24" t="str">
        <x:v>Contractor Document Verification &amp; Compliance Gate</x:v>
      </x:c>
      <x:c r="C96" s="24" t="str">
        <x:v>Phase B - Workforce operations</x:v>
      </x:c>
      <x:c r="D96" s="24" t="str">
        <x:v>P1</x:v>
      </x:c>
      <x:c r="E96" s="24" t="str">
        <x:v>Implementation</x:v>
      </x:c>
      <x:c r="F96" s="24" t="str">
        <x:v>Tests</x:v>
      </x:c>
      <x:c r="G96" s="24" t="str">
        <x:v>Unauthorized file access, invalid files, status transitions, expiry gating and assignment rejection until verified.</x:v>
      </x:c>
      <x:c r="H96" s="24" t="str">
        <x:v>M04,M07</x:v>
      </x:c>
      <x:c r="I96" s="24" t="str"/>
      <x:c r="J96" s="24" t="str">
        <x:v>☐</x:v>
      </x:c>
      <x:c r="K96" s="24" t="str"/>
      <x:c r="L96" s="24"/>
    </x:row>
    <x:row r="97" ht="26.399999618530273" hidden="0" customHeight="1">
      <x:c r="A97" s="24" t="str">
        <x:v>M08</x:v>
      </x:c>
      <x:c r="B97" s="24" t="str">
        <x:v>Contractor Document Verification &amp; Compliance Gate</x:v>
      </x:c>
      <x:c r="C97" s="24" t="str">
        <x:v>Phase B - Workforce operations</x:v>
      </x:c>
      <x:c r="D97" s="24" t="str">
        <x:v>P1</x:v>
      </x:c>
      <x:c r="E97" s="24" t="str">
        <x:v>Acceptance</x:v>
      </x:c>
      <x:c r="F97" s="24" t="str">
        <x:v>Acceptance Criteria</x:v>
      </x:c>
      <x:c r="G97" s="24" t="str">
        <x:v>Unverified contractor cannot be assigned/accepted.</x:v>
      </x:c>
      <x:c r="H97" s="24" t="str">
        <x:v>M04,M07</x:v>
      </x:c>
      <x:c r="I97" s="24" t="str"/>
      <x:c r="J97" s="24" t="str">
        <x:v>☐</x:v>
      </x:c>
      <x:c r="K97" s="24" t="str"/>
      <x:c r="L97" s="24"/>
    </x:row>
    <x:row r="98" ht="26.399999618530273" hidden="0" customHeight="1">
      <x:c r="A98" s="24" t="str">
        <x:v>M08</x:v>
      </x:c>
      <x:c r="B98" s="24" t="str">
        <x:v>Contractor Document Verification &amp; Compliance Gate</x:v>
      </x:c>
      <x:c r="C98" s="24" t="str">
        <x:v>Phase B - Workforce operations</x:v>
      </x:c>
      <x:c r="D98" s="24" t="str">
        <x:v>P1</x:v>
      </x:c>
      <x:c r="E98" s="24" t="str">
        <x:v>Acceptance</x:v>
      </x:c>
      <x:c r="F98" s="24" t="str">
        <x:v>Acceptance Criteria</x:v>
      </x:c>
      <x:c r="G98" s="24" t="str">
        <x:v>Verification decision is auditable and rejection reason is visible.</x:v>
      </x:c>
      <x:c r="H98" s="24" t="str">
        <x:v>M04,M07</x:v>
      </x:c>
      <x:c r="I98" s="24" t="str"/>
      <x:c r="J98" s="24" t="str">
        <x:v>☐</x:v>
      </x:c>
      <x:c r="K98" s="24" t="str"/>
      <x:c r="L98" s="24"/>
    </x:row>
    <x:row r="99" ht="26.399999618530273" hidden="0" customHeight="1">
      <x:c r="A99" s="24" t="str">
        <x:v>M08</x:v>
      </x:c>
      <x:c r="B99" s="24" t="str">
        <x:v>Contractor Document Verification &amp; Compliance Gate</x:v>
      </x:c>
      <x:c r="C99" s="24" t="str">
        <x:v>Phase B - Workforce operations</x:v>
      </x:c>
      <x:c r="D99" s="24" t="str">
        <x:v>P1</x:v>
      </x:c>
      <x:c r="E99" s="24" t="str">
        <x:v>Acceptance</x:v>
      </x:c>
      <x:c r="F99" s="24" t="str">
        <x:v>Acceptance Criteria</x:v>
      </x:c>
      <x:c r="G99" s="24" t="str">
        <x:v>Expired mandatory documents remove future eligibility without deleting history.</x:v>
      </x:c>
      <x:c r="H99" s="24" t="str">
        <x:v>M04,M07</x:v>
      </x:c>
      <x:c r="I99" s="24" t="str"/>
      <x:c r="J99" s="24" t="str">
        <x:v>☐</x:v>
      </x:c>
      <x:c r="K99" s="24" t="str"/>
      <x:c r="L99" s="24"/>
    </x:row>
    <x:row r="100" ht="39.599998474121094" hidden="0" customHeight="1">
      <x:c r="A100" s="24" t="str">
        <x:v>M09</x:v>
      </x:c>
      <x:c r="B100" s="24" t="str">
        <x:v>Client Management, Vendor-Client Relationships &amp; Project Visibility</x:v>
      </x:c>
      <x:c r="C100" s="24" t="str">
        <x:v>Phase B - Workforce operations</x:v>
      </x:c>
      <x:c r="D100" s="24" t="str">
        <x:v>P1</x:v>
      </x:c>
      <x:c r="E100" s="24" t="str">
        <x:v>Implementation</x:v>
      </x:c>
      <x:c r="F100" s="24" t="str">
        <x:v>Database</x:v>
      </x:c>
      <x:c r="G100" s="24" t="str">
        <x:v>Add `client_vendor_relationships(client_company_id,vendor_id,status,invited_by,accepted_at,...)` and `project_vendors(project_id,vendor_id,status,...)` for project-level sourcing access.</x:v>
      </x:c>
      <x:c r="H100" s="24" t="str">
        <x:v>M02,M04,M05</x:v>
      </x:c>
      <x:c r="I100" s="24" t="str"/>
      <x:c r="J100" s="24" t="str">
        <x:v>☐</x:v>
      </x:c>
      <x:c r="K100" s="24" t="str"/>
      <x:c r="L100" s="24"/>
    </x:row>
    <x:row r="101" ht="39.599998474121094" hidden="0" customHeight="1">
      <x:c r="A101" s="24" t="str">
        <x:v>M09</x:v>
      </x:c>
      <x:c r="B101" s="24" t="str">
        <x:v>Client Management, Vendor-Client Relationships &amp; Project Visibility</x:v>
      </x:c>
      <x:c r="C101" s="24" t="str">
        <x:v>Phase B - Workforce operations</x:v>
      </x:c>
      <x:c r="D101" s="24" t="str">
        <x:v>P1</x:v>
      </x:c>
      <x:c r="E101" s="24" t="str">
        <x:v>Implementation</x:v>
      </x:c>
      <x:c r="F101" s="24" t="str">
        <x:v>Onboarding</x:v>
      </x:c>
      <x:c r="G101" s="24" t="str">
        <x:v>Stop unrestricted company-name claiming: new PM membership should require an invitation/verified company membership flow once a company exists; preserve a controlled first-company bootstrap path for demo/admin setup.</x:v>
      </x:c>
      <x:c r="H101" s="24" t="str">
        <x:v>M02,M04,M05</x:v>
      </x:c>
      <x:c r="I101" s="24" t="str"/>
      <x:c r="J101" s="24" t="str">
        <x:v>☐</x:v>
      </x:c>
      <x:c r="K101" s="24" t="str"/>
      <x:c r="L101" s="24"/>
    </x:row>
    <x:row r="102" ht="26.399999618530273" hidden="0" customHeight="1">
      <x:c r="A102" s="24" t="str">
        <x:v>M09</x:v>
      </x:c>
      <x:c r="B102" s="24" t="str">
        <x:v>Client Management, Vendor-Client Relationships &amp; Project Visibility</x:v>
      </x:c>
      <x:c r="C102" s="24" t="str">
        <x:v>Phase B - Workforce operations</x:v>
      </x:c>
      <x:c r="D102" s="24" t="str">
        <x:v>P1</x:v>
      </x:c>
      <x:c r="E102" s="24" t="str">
        <x:v>Implementation</x:v>
      </x:c>
      <x:c r="F102" s="24" t="str">
        <x:v>PM flow</x:v>
      </x:c>
      <x:c r="G102" s="24" t="str">
        <x:v>PM can invite/select connected vendor(s) for a project; revoke future sourcing without deleting historical assignments.</x:v>
      </x:c>
      <x:c r="H102" s="24" t="str">
        <x:v>M02,M04,M05</x:v>
      </x:c>
      <x:c r="I102" s="24" t="str"/>
      <x:c r="J102" s="24" t="str">
        <x:v>☐</x:v>
      </x:c>
      <x:c r="K102" s="24" t="str"/>
      <x:c r="L102" s="24"/>
    </x:row>
    <x:row r="103" ht="26.399999618530273" hidden="0" customHeight="1">
      <x:c r="A103" s="24" t="str">
        <x:v>M09</x:v>
      </x:c>
      <x:c r="B103" s="24" t="str">
        <x:v>Client Management, Vendor-Client Relationships &amp; Project Visibility</x:v>
      </x:c>
      <x:c r="C103" s="24" t="str">
        <x:v>Phase B - Workforce operations</x:v>
      </x:c>
      <x:c r="D103" s="24" t="str">
        <x:v>P1</x:v>
      </x:c>
      <x:c r="E103" s="24" t="str">
        <x:v>Implementation</x:v>
      </x:c>
      <x:c r="F103" s="24" t="str">
        <x:v>Vendor flow</x:v>
      </x:c>
      <x:c r="G103" s="24" t="str">
        <x:v>Vendor Clients page shows connected companies, PM contacts, active projects, open requirements, deployed contractors and invoice/payment summary once available.</x:v>
      </x:c>
      <x:c r="H103" s="24" t="str">
        <x:v>M02,M04,M05</x:v>
      </x:c>
      <x:c r="I103" s="24" t="str"/>
      <x:c r="J103" s="24" t="str">
        <x:v>☐</x:v>
      </x:c>
      <x:c r="K103" s="24" t="str"/>
      <x:c r="L103" s="24"/>
    </x:row>
    <x:row r="104" ht="26.399999618530273" hidden="0" customHeight="1">
      <x:c r="A104" s="24" t="str">
        <x:v>M09</x:v>
      </x:c>
      <x:c r="B104" s="24" t="str">
        <x:v>Client Management, Vendor-Client Relationships &amp; Project Visibility</x:v>
      </x:c>
      <x:c r="C104" s="24" t="str">
        <x:v>Phase B - Workforce operations</x:v>
      </x:c>
      <x:c r="D104" s="24" t="str">
        <x:v>P1</x:v>
      </x:c>
      <x:c r="E104" s="24" t="str">
        <x:v>Implementation</x:v>
      </x:c>
      <x:c r="F104" s="24" t="str">
        <x:v>Authorization</x:v>
      </x:c>
      <x:c r="G104" s="24" t="str">
        <x:v>Vendor `/projects`, requirement and candidate queries must join through active `project_vendors`; unauthorized project IDs return the same 404 pattern used elsewhere.</x:v>
      </x:c>
      <x:c r="H104" s="24" t="str">
        <x:v>M02,M04,M05</x:v>
      </x:c>
      <x:c r="I104" s="24" t="str"/>
      <x:c r="J104" s="24" t="str">
        <x:v>☐</x:v>
      </x:c>
      <x:c r="K104" s="24" t="str"/>
      <x:c r="L104" s="24"/>
    </x:row>
    <x:row r="105" ht="26.399999618530273" hidden="0" customHeight="1">
      <x:c r="A105" s="24" t="str">
        <x:v>M09</x:v>
      </x:c>
      <x:c r="B105" s="24" t="str">
        <x:v>Client Management, Vendor-Client Relationships &amp; Project Visibility</x:v>
      </x:c>
      <x:c r="C105" s="24" t="str">
        <x:v>Phase B - Workforce operations</x:v>
      </x:c>
      <x:c r="D105" s="24" t="str">
        <x:v>P1</x:v>
      </x:c>
      <x:c r="E105" s="24" t="str">
        <x:v>Implementation</x:v>
      </x:c>
      <x:c r="F105" s="24" t="str">
        <x:v>Frontend</x:v>
      </x:c>
      <x:c r="G105" s="24" t="str">
        <x:v>Client directory/detail pages for Vendor; vendor access management within PM project view.</x:v>
      </x:c>
      <x:c r="H105" s="24" t="str">
        <x:v>M02,M04,M05</x:v>
      </x:c>
      <x:c r="I105" s="24" t="str"/>
      <x:c r="J105" s="24" t="str">
        <x:v>☐</x:v>
      </x:c>
      <x:c r="K105" s="24" t="str"/>
      <x:c r="L105" s="24"/>
    </x:row>
    <x:row r="106" ht="26.399999618530273" hidden="0" customHeight="1">
      <x:c r="A106" s="24" t="str">
        <x:v>M09</x:v>
      </x:c>
      <x:c r="B106" s="24" t="str">
        <x:v>Client Management, Vendor-Client Relationships &amp; Project Visibility</x:v>
      </x:c>
      <x:c r="C106" s="24" t="str">
        <x:v>Phase B - Workforce operations</x:v>
      </x:c>
      <x:c r="D106" s="24" t="str">
        <x:v>P1</x:v>
      </x:c>
      <x:c r="E106" s="24" t="str">
        <x:v>Implementation</x:v>
      </x:c>
      <x:c r="F106" s="24" t="str">
        <x:v>Tests</x:v>
      </x:c>
      <x:c r="G106" s="24" t="str">
        <x:v>Two vendors/two clients matrix proving no cross-project visibility or staffing outside an active relationship.</x:v>
      </x:c>
      <x:c r="H106" s="24" t="str">
        <x:v>M02,M04,M05</x:v>
      </x:c>
      <x:c r="I106" s="24" t="str"/>
      <x:c r="J106" s="24" t="str">
        <x:v>☐</x:v>
      </x:c>
      <x:c r="K106" s="24" t="str"/>
      <x:c r="L106" s="24"/>
    </x:row>
    <x:row r="107" ht="26.399999618530273" hidden="0" customHeight="1">
      <x:c r="A107" s="24" t="str">
        <x:v>M09</x:v>
      </x:c>
      <x:c r="B107" s="24" t="str">
        <x:v>Client Management, Vendor-Client Relationships &amp; Project Visibility</x:v>
      </x:c>
      <x:c r="C107" s="24" t="str">
        <x:v>Phase B - Workforce operations</x:v>
      </x:c>
      <x:c r="D107" s="24" t="str">
        <x:v>P1</x:v>
      </x:c>
      <x:c r="E107" s="24" t="str">
        <x:v>Acceptance</x:v>
      </x:c>
      <x:c r="F107" s="24" t="str">
        <x:v>Acceptance Criteria</x:v>
      </x:c>
      <x:c r="G107" s="24" t="str">
        <x:v>Vendor sees only authorized client/project demand.</x:v>
      </x:c>
      <x:c r="H107" s="24" t="str">
        <x:v>M02,M04,M05</x:v>
      </x:c>
      <x:c r="I107" s="24" t="str"/>
      <x:c r="J107" s="24" t="str">
        <x:v>☐</x:v>
      </x:c>
      <x:c r="K107" s="24" t="str"/>
      <x:c r="L107" s="24"/>
    </x:row>
    <x:row r="108" ht="26.399999618530273" hidden="0" customHeight="1">
      <x:c r="A108" s="24" t="str">
        <x:v>M09</x:v>
      </x:c>
      <x:c r="B108" s="24" t="str">
        <x:v>Client Management, Vendor-Client Relationships &amp; Project Visibility</x:v>
      </x:c>
      <x:c r="C108" s="24" t="str">
        <x:v>Phase B - Workforce operations</x:v>
      </x:c>
      <x:c r="D108" s="24" t="str">
        <x:v>P1</x:v>
      </x:c>
      <x:c r="E108" s="24" t="str">
        <x:v>Acceptance</x:v>
      </x:c>
      <x:c r="F108" s="24" t="str">
        <x:v>Acceptance Criteria</x:v>
      </x:c>
      <x:c r="G108" s="24" t="str">
        <x:v>PM can connect/remove a vendor from future sourcing.</x:v>
      </x:c>
      <x:c r="H108" s="24" t="str">
        <x:v>M02,M04,M05</x:v>
      </x:c>
      <x:c r="I108" s="24" t="str"/>
      <x:c r="J108" s="24" t="str">
        <x:v>☐</x:v>
      </x:c>
      <x:c r="K108" s="24" t="str"/>
      <x:c r="L108" s="24"/>
    </x:row>
    <x:row r="109" ht="26.399999618530273" hidden="0" customHeight="1">
      <x:c r="A109" s="24" t="str">
        <x:v>M09</x:v>
      </x:c>
      <x:c r="B109" s="24" t="str">
        <x:v>Client Management, Vendor-Client Relationships &amp; Project Visibility</x:v>
      </x:c>
      <x:c r="C109" s="24" t="str">
        <x:v>Phase B - Workforce operations</x:v>
      </x:c>
      <x:c r="D109" s="24" t="str">
        <x:v>P1</x:v>
      </x:c>
      <x:c r="E109" s="24" t="str">
        <x:v>Acceptance</x:v>
      </x:c>
      <x:c r="F109" s="24" t="str">
        <x:v>Acceptance Criteria</x:v>
      </x:c>
      <x:c r="G109" s="24" t="str">
        <x:v>Vendor has a real client-management view without turning the project into a generic CRM.</x:v>
      </x:c>
      <x:c r="H109" s="24" t="str">
        <x:v>M02,M04,M05</x:v>
      </x:c>
      <x:c r="I109" s="24" t="str"/>
      <x:c r="J109" s="24" t="str">
        <x:v>☐</x:v>
      </x:c>
      <x:c r="K109" s="24" t="str"/>
      <x:c r="L109" s="24"/>
    </x:row>
    <x:row r="110" ht="39.599998474121094" hidden="0" customHeight="1">
      <x:c r="A110" s="24" t="str">
        <x:v>M10</x:v>
      </x:c>
      <x:c r="B110" s="24" t="str">
        <x:v>Project, Requirement, Budget &amp; Time-Policy Lifecycle</x:v>
      </x:c>
      <x:c r="C110" s="24" t="str">
        <x:v>Phase B - Workforce operations</x:v>
      </x:c>
      <x:c r="D110" s="24" t="str">
        <x:v>P1</x:v>
      </x:c>
      <x:c r="E110" s="24" t="str">
        <x:v>Implementation</x:v>
      </x:c>
      <x:c r="F110" s="24" t="str">
        <x:v>Database</x:v>
      </x:c>
      <x:c r="G110" s="24" t="str">
        <x:v>Add `budget DECIMAL`, `currency CHAR(3)`, optional `max_hours_per_day`, `max_hours_per_week`, `allow_weekend`, `backdate_limit_days`; add requirement `status OPEN/CLOSED` and optional description.</x:v>
      </x:c>
      <x:c r="H110" s="24" t="str">
        <x:v>M04,M09</x:v>
      </x:c>
      <x:c r="I110" s="24" t="str"/>
      <x:c r="J110" s="24" t="str">
        <x:v>☐</x:v>
      </x:c>
      <x:c r="K110" s="24" t="str"/>
      <x:c r="L110" s="24"/>
    </x:row>
    <x:row r="111" ht="26.399999618530273" hidden="0" customHeight="1">
      <x:c r="A111" s="24" t="str">
        <x:v>M10</x:v>
      </x:c>
      <x:c r="B111" s="24" t="str">
        <x:v>Project, Requirement, Budget &amp; Time-Policy Lifecycle</x:v>
      </x:c>
      <x:c r="C111" s="24" t="str">
        <x:v>Phase B - Workforce operations</x:v>
      </x:c>
      <x:c r="D111" s="24" t="str">
        <x:v>P1</x:v>
      </x:c>
      <x:c r="E111" s="24" t="str">
        <x:v>Implementation</x:v>
      </x:c>
      <x:c r="F111" s="24" t="str">
        <x:v>Project API</x:v>
      </x:c>
      <x:c r="G111" s="24" t="str">
        <x:v>Add controlled PATCH for name/description/dates/budget/expected_hours/time policies/status; validate against committed data.</x:v>
      </x:c>
      <x:c r="H111" s="24" t="str">
        <x:v>M04,M09</x:v>
      </x:c>
      <x:c r="I111" s="24" t="str"/>
      <x:c r="J111" s="24" t="str">
        <x:v>☐</x:v>
      </x:c>
      <x:c r="K111" s="24" t="str"/>
      <x:c r="L111" s="24"/>
    </x:row>
    <x:row r="112" ht="39.599998474121094" hidden="0" customHeight="1">
      <x:c r="A112" s="24" t="str">
        <x:v>M10</x:v>
      </x:c>
      <x:c r="B112" s="24" t="str">
        <x:v>Project, Requirement, Budget &amp; Time-Policy Lifecycle</x:v>
      </x:c>
      <x:c r="C112" s="24" t="str">
        <x:v>Phase B - Workforce operations</x:v>
      </x:c>
      <x:c r="D112" s="24" t="str">
        <x:v>P1</x:v>
      </x:c>
      <x:c r="E112" s="24" t="str">
        <x:v>Implementation</x:v>
      </x:c>
      <x:c r="F112" s="24" t="str">
        <x:v>Safety</x:v>
      </x:c>
      <x:c r="G112" s="24" t="str">
        <x:v>Cannot reduce expected_hours below allocated or approved hours; cannot move dates so existing assignments/timesheets fall outside; cannot complete while there are submitted timesheets or unresolved billing eligibility without an explicit resolution path.</x:v>
      </x:c>
      <x:c r="H112" s="24" t="str">
        <x:v>M04,M09</x:v>
      </x:c>
      <x:c r="I112" s="24" t="str"/>
      <x:c r="J112" s="24" t="str">
        <x:v>☐</x:v>
      </x:c>
      <x:c r="K112" s="24" t="str"/>
      <x:c r="L112" s="24"/>
    </x:row>
    <x:row r="113" ht="26.399999618530273" hidden="0" customHeight="1">
      <x:c r="A113" s="24" t="str">
        <x:v>M10</x:v>
      </x:c>
      <x:c r="B113" s="24" t="str">
        <x:v>Project, Requirement, Budget &amp; Time-Policy Lifecycle</x:v>
      </x:c>
      <x:c r="C113" s="24" t="str">
        <x:v>Phase B - Workforce operations</x:v>
      </x:c>
      <x:c r="D113" s="24" t="str">
        <x:v>P1</x:v>
      </x:c>
      <x:c r="E113" s="24" t="str">
        <x:v>Implementation</x:v>
      </x:c>
      <x:c r="F113" s="24" t="str">
        <x:v>Requirement API</x:v>
      </x:c>
      <x:c r="G113" s="24" t="str">
        <x:v>Increase/decrease required_count, close/reopen requirement. Required count cannot drop below already accepted/assigned contractors; do not delete historical requirements.</x:v>
      </x:c>
      <x:c r="H113" s="24" t="str">
        <x:v>M04,M09</x:v>
      </x:c>
      <x:c r="I113" s="24" t="str"/>
      <x:c r="J113" s="24" t="str">
        <x:v>☐</x:v>
      </x:c>
      <x:c r="K113" s="24" t="str"/>
      <x:c r="L113" s="24"/>
    </x:row>
    <x:row r="114" ht="26.399999618530273" hidden="0" customHeight="1">
      <x:c r="A114" s="24" t="str">
        <x:v>M10</x:v>
      </x:c>
      <x:c r="B114" s="24" t="str">
        <x:v>Project, Requirement, Budget &amp; Time-Policy Lifecycle</x:v>
      </x:c>
      <x:c r="C114" s="24" t="str">
        <x:v>Phase B - Workforce operations</x:v>
      </x:c>
      <x:c r="D114" s="24" t="str">
        <x:v>P1</x:v>
      </x:c>
      <x:c r="E114" s="24" t="str">
        <x:v>Implementation</x:v>
      </x:c>
      <x:c r="F114" s="24" t="str">
        <x:v>Status</x:v>
      </x:c>
      <x:c r="G114" s="24" t="str">
        <x:v>Define explicit transitions ACTIVE &lt;-&gt; ON_HOLD, ACTIVE/ON_HOLD -&gt; COMPLETED, ACTIVE/ON_HOLD -&gt; CANCELLED (new), with side effects documented.</x:v>
      </x:c>
      <x:c r="H114" s="24" t="str">
        <x:v>M04,M09</x:v>
      </x:c>
      <x:c r="I114" s="24" t="str"/>
      <x:c r="J114" s="24" t="str">
        <x:v>☐</x:v>
      </x:c>
      <x:c r="K114" s="24" t="str"/>
      <x:c r="L114" s="24"/>
    </x:row>
    <x:row r="115" ht="26.399999618530273" hidden="0" customHeight="1">
      <x:c r="A115" s="24" t="str">
        <x:v>M10</x:v>
      </x:c>
      <x:c r="B115" s="24" t="str">
        <x:v>Project, Requirement, Budget &amp; Time-Policy Lifecycle</x:v>
      </x:c>
      <x:c r="C115" s="24" t="str">
        <x:v>Phase B - Workforce operations</x:v>
      </x:c>
      <x:c r="D115" s="24" t="str">
        <x:v>P1</x:v>
      </x:c>
      <x:c r="E115" s="24" t="str">
        <x:v>Implementation</x:v>
      </x:c>
      <x:c r="F115" s="24" t="str">
        <x:v>Timesheet integration</x:v>
      </x:c>
      <x:c r="G115" s="24" t="str">
        <x:v>M06 validation reads project-specific policy values; ON_HOLD/CANCELLED/COMPLETED block new submissions.</x:v>
      </x:c>
      <x:c r="H115" s="24" t="str">
        <x:v>M04,M09</x:v>
      </x:c>
      <x:c r="I115" s="24" t="str"/>
      <x:c r="J115" s="24" t="str">
        <x:v>☐</x:v>
      </x:c>
      <x:c r="K115" s="24" t="str"/>
      <x:c r="L115" s="24"/>
    </x:row>
    <x:row r="116" ht="26.399999618530273" hidden="0" customHeight="1">
      <x:c r="A116" s="24" t="str">
        <x:v>M10</x:v>
      </x:c>
      <x:c r="B116" s="24" t="str">
        <x:v>Project, Requirement, Budget &amp; Time-Policy Lifecycle</x:v>
      </x:c>
      <x:c r="C116" s="24" t="str">
        <x:v>Phase B - Workforce operations</x:v>
      </x:c>
      <x:c r="D116" s="24" t="str">
        <x:v>P1</x:v>
      </x:c>
      <x:c r="E116" s="24" t="str">
        <x:v>Implementation</x:v>
      </x:c>
      <x:c r="F116" s="24" t="str">
        <x:v>Frontend</x:v>
      </x:c>
      <x:c r="G116" s="24" t="str">
        <x:v>Project settings/edit drawer, requirement editor, budget + policy cards, clear blocked-edit reasons.</x:v>
      </x:c>
      <x:c r="H116" s="24" t="str">
        <x:v>M04,M09</x:v>
      </x:c>
      <x:c r="I116" s="24" t="str"/>
      <x:c r="J116" s="24" t="str">
        <x:v>☐</x:v>
      </x:c>
      <x:c r="K116" s="24" t="str"/>
      <x:c r="L116" s="24"/>
    </x:row>
    <x:row r="117" ht="26.399999618530273" hidden="0" customHeight="1">
      <x:c r="A117" s="24" t="str">
        <x:v>M10</x:v>
      </x:c>
      <x:c r="B117" s="24" t="str">
        <x:v>Project, Requirement, Budget &amp; Time-Policy Lifecycle</x:v>
      </x:c>
      <x:c r="C117" s="24" t="str">
        <x:v>Phase B - Workforce operations</x:v>
      </x:c>
      <x:c r="D117" s="24" t="str">
        <x:v>P1</x:v>
      </x:c>
      <x:c r="E117" s="24" t="str">
        <x:v>Implementation</x:v>
      </x:c>
      <x:c r="F117" s="24" t="str">
        <x:v>Tests</x:v>
      </x:c>
      <x:c r="G117" s="24" t="str">
        <x:v>Every invalid date/hours/budget transition, requirement decrease, status transition and existing-data safeguard.</x:v>
      </x:c>
      <x:c r="H117" s="24" t="str">
        <x:v>M04,M09</x:v>
      </x:c>
      <x:c r="I117" s="24" t="str"/>
      <x:c r="J117" s="24" t="str">
        <x:v>☐</x:v>
      </x:c>
      <x:c r="K117" s="24" t="str"/>
      <x:c r="L117" s="24"/>
    </x:row>
    <x:row r="118" ht="26.399999618530273" hidden="0" customHeight="1">
      <x:c r="A118" s="24" t="str">
        <x:v>M10</x:v>
      </x:c>
      <x:c r="B118" s="24" t="str">
        <x:v>Project, Requirement, Budget &amp; Time-Policy Lifecycle</x:v>
      </x:c>
      <x:c r="C118" s="24" t="str">
        <x:v>Phase B - Workforce operations</x:v>
      </x:c>
      <x:c r="D118" s="24" t="str">
        <x:v>P1</x:v>
      </x:c>
      <x:c r="E118" s="24" t="str">
        <x:v>Acceptance</x:v>
      </x:c>
      <x:c r="F118" s="24" t="str">
        <x:v>Acceptance Criteria</x:v>
      </x:c>
      <x:c r="G118" s="24" t="str">
        <x:v>Project can be edited without corrupting assignments/timesheets.</x:v>
      </x:c>
      <x:c r="H118" s="24" t="str">
        <x:v>M04,M09</x:v>
      </x:c>
      <x:c r="I118" s="24" t="str"/>
      <x:c r="J118" s="24" t="str">
        <x:v>☐</x:v>
      </x:c>
      <x:c r="K118" s="24" t="str"/>
      <x:c r="L118" s="24"/>
    </x:row>
    <x:row r="119" ht="26.399999618530273" hidden="0" customHeight="1">
      <x:c r="A119" s="24" t="str">
        <x:v>M10</x:v>
      </x:c>
      <x:c r="B119" s="24" t="str">
        <x:v>Project, Requirement, Budget &amp; Time-Policy Lifecycle</x:v>
      </x:c>
      <x:c r="C119" s="24" t="str">
        <x:v>Phase B - Workforce operations</x:v>
      </x:c>
      <x:c r="D119" s="24" t="str">
        <x:v>P1</x:v>
      </x:c>
      <x:c r="E119" s="24" t="str">
        <x:v>Acceptance</x:v>
      </x:c>
      <x:c r="F119" s="24" t="str">
        <x:v>Acceptance Criteria</x:v>
      </x:c>
      <x:c r="G119" s="24" t="str">
        <x:v>Budget and currency exist and are available to reporting.</x:v>
      </x:c>
      <x:c r="H119" s="24" t="str">
        <x:v>M04,M09</x:v>
      </x:c>
      <x:c r="I119" s="24" t="str"/>
      <x:c r="J119" s="24" t="str">
        <x:v>☐</x:v>
      </x:c>
      <x:c r="K119" s="24" t="str"/>
      <x:c r="L119" s="24"/>
    </x:row>
    <x:row r="120" ht="26.399999618530273" hidden="0" customHeight="1">
      <x:c r="A120" s="24" t="str">
        <x:v>M10</x:v>
      </x:c>
      <x:c r="B120" s="24" t="str">
        <x:v>Project, Requirement, Budget &amp; Time-Policy Lifecycle</x:v>
      </x:c>
      <x:c r="C120" s="24" t="str">
        <x:v>Phase B - Workforce operations</x:v>
      </x:c>
      <x:c r="D120" s="24" t="str">
        <x:v>P1</x:v>
      </x:c>
      <x:c r="E120" s="24" t="str">
        <x:v>Acceptance</x:v>
      </x:c>
      <x:c r="F120" s="24" t="str">
        <x:v>Acceptance Criteria</x:v>
      </x:c>
      <x:c r="G120" s="24" t="str">
        <x:v>Requirements can be managed after creation with safe lower bounds.</x:v>
      </x:c>
      <x:c r="H120" s="24" t="str">
        <x:v>M04,M09</x:v>
      </x:c>
      <x:c r="I120" s="24" t="str"/>
      <x:c r="J120" s="24" t="str">
        <x:v>☐</x:v>
      </x:c>
      <x:c r="K120" s="24" t="str"/>
      <x:c r="L120" s="24"/>
    </x:row>
    <x:row r="121" ht="39.599998474121094" hidden="0" customHeight="1">
      <x:c r="A121" s="24" t="str">
        <x:v>M11</x:v>
      </x:c>
      <x:c r="B121" s="24" t="str">
        <x:v>Contractor Availability &amp; Date-Based Assignment Lifecycle</x:v>
      </x:c>
      <x:c r="C121" s="24" t="str">
        <x:v>Phase B - Workforce operations</x:v>
      </x:c>
      <x:c r="D121" s="24" t="str">
        <x:v>P1</x:v>
      </x:c>
      <x:c r="E121" s="24" t="str">
        <x:v>Implementation</x:v>
      </x:c>
      <x:c r="F121" s="24" t="str">
        <x:v>Database</x:v>
      </x:c>
      <x:c r="G121" s="24" t="str">
        <x:v>Add assignment `start_date,end_date,actual_end_date,release_reason,rate_card_id/rate snapshot later`; add `contractor_unavailability(contractor_id,start_date,end_date,reason,status)`.</x:v>
      </x:c>
      <x:c r="H121" s="24" t="str">
        <x:v>M07,M08,M10</x:v>
      </x:c>
      <x:c r="I121" s="24" t="str"/>
      <x:c r="J121" s="24" t="str">
        <x:v>☐</x:v>
      </x:c>
      <x:c r="K121" s="24" t="str"/>
      <x:c r="L121" s="24"/>
    </x:row>
    <x:row r="122" ht="26.399999618530273" hidden="0" customHeight="1">
      <x:c r="A122" s="24" t="str">
        <x:v>M11</x:v>
      </x:c>
      <x:c r="B122" s="24" t="str">
        <x:v>Contractor Availability &amp; Date-Based Assignment Lifecycle</x:v>
      </x:c>
      <x:c r="C122" s="24" t="str">
        <x:v>Phase B - Workforce operations</x:v>
      </x:c>
      <x:c r="D122" s="24" t="str">
        <x:v>P1</x:v>
      </x:c>
      <x:c r="E122" s="24" t="str">
        <x:v>Implementation</x:v>
      </x:c>
      <x:c r="F122" s="24" t="str">
        <x:v>Migration</x:v>
      </x:c>
      <x:c r="G122" s="24" t="str">
        <x:v>Remove the generated one-active-assignment uniqueness only after a transactionally safe overlap query/locking strategy and tests exist.</x:v>
      </x:c>
      <x:c r="H122" s="24" t="str">
        <x:v>M07,M08,M10</x:v>
      </x:c>
      <x:c r="I122" s="24" t="str"/>
      <x:c r="J122" s="24" t="str">
        <x:v>☐</x:v>
      </x:c>
      <x:c r="K122" s="24" t="str"/>
      <x:c r="L122" s="24"/>
    </x:row>
    <x:row r="123" ht="39.599998474121094" hidden="0" customHeight="1">
      <x:c r="A123" s="24" t="str">
        <x:v>M11</x:v>
      </x:c>
      <x:c r="B123" s="24" t="str">
        <x:v>Contractor Availability &amp; Date-Based Assignment Lifecycle</x:v>
      </x:c>
      <x:c r="C123" s="24" t="str">
        <x:v>Phase B - Workforce operations</x:v>
      </x:c>
      <x:c r="D123" s="24" t="str">
        <x:v>P1</x:v>
      </x:c>
      <x:c r="E123" s="24" t="str">
        <x:v>Implementation</x:v>
      </x:c>
      <x:c r="F123" s="24" t="str">
        <x:v>Conflict rule</x:v>
      </x:c>
      <x:c r="G123" s="24" t="str">
        <x:v>Before candidate acceptance/assignment, reject any date overlap with another non-released assignment; lock contractor + relevant assignment range inside the transaction.</x:v>
      </x:c>
      <x:c r="H123" s="24" t="str">
        <x:v>M07,M08,M10</x:v>
      </x:c>
      <x:c r="I123" s="24" t="str"/>
      <x:c r="J123" s="24" t="str">
        <x:v>☐</x:v>
      </x:c>
      <x:c r="K123" s="24" t="str"/>
      <x:c r="L123" s="24"/>
    </x:row>
    <x:row r="124" ht="26.399999618530273" hidden="0" customHeight="1">
      <x:c r="A124" s="24" t="str">
        <x:v>M11</x:v>
      </x:c>
      <x:c r="B124" s="24" t="str">
        <x:v>Contractor Availability &amp; Date-Based Assignment Lifecycle</x:v>
      </x:c>
      <x:c r="C124" s="24" t="str">
        <x:v>Phase B - Workforce operations</x:v>
      </x:c>
      <x:c r="D124" s="24" t="str">
        <x:v>P1</x:v>
      </x:c>
      <x:c r="E124" s="24" t="str">
        <x:v>Implementation</x:v>
      </x:c>
      <x:c r="F124" s="24" t="str">
        <x:v>Availability</x:v>
      </x:c>
      <x:c r="G124" s="24" t="str">
        <x:v>Vendor/contractor can record planned unavailable ranges; eligibility rejects overlapping unavailability.</x:v>
      </x:c>
      <x:c r="H124" s="24" t="str">
        <x:v>M07,M08,M10</x:v>
      </x:c>
      <x:c r="I124" s="24" t="str"/>
      <x:c r="J124" s="24" t="str">
        <x:v>☐</x:v>
      </x:c>
      <x:c r="K124" s="24" t="str"/>
      <x:c r="L124" s="24"/>
    </x:row>
    <x:row r="125" ht="26.399999618530273" hidden="0" customHeight="1">
      <x:c r="A125" s="24" t="str">
        <x:v>M11</x:v>
      </x:c>
      <x:c r="B125" s="24" t="str">
        <x:v>Contractor Availability &amp; Date-Based Assignment Lifecycle</x:v>
      </x:c>
      <x:c r="C125" s="24" t="str">
        <x:v>Phase B - Workforce operations</x:v>
      </x:c>
      <x:c r="D125" s="24" t="str">
        <x:v>P1</x:v>
      </x:c>
      <x:c r="E125" s="24" t="str">
        <x:v>Implementation</x:v>
      </x:c>
      <x:c r="F125" s="24" t="str">
        <x:v>Release</x:v>
      </x:c>
      <x:c r="G125" s="24" t="str">
        <x:v>Add authorized individual release with actual last working date and reason; historical assignment stays intact. Release frees future eligibility.</x:v>
      </x:c>
      <x:c r="H125" s="24" t="str">
        <x:v>M07,M08,M10</x:v>
      </x:c>
      <x:c r="I125" s="24" t="str"/>
      <x:c r="J125" s="24" t="str">
        <x:v>☐</x:v>
      </x:c>
      <x:c r="K125" s="24" t="str"/>
      <x:c r="L125" s="24"/>
    </x:row>
    <x:row r="126" ht="26.399999618530273" hidden="0" customHeight="1">
      <x:c r="A126" s="24" t="str">
        <x:v>M11</x:v>
      </x:c>
      <x:c r="B126" s="24" t="str">
        <x:v>Contractor Availability &amp; Date-Based Assignment Lifecycle</x:v>
      </x:c>
      <x:c r="C126" s="24" t="str">
        <x:v>Phase B - Workforce operations</x:v>
      </x:c>
      <x:c r="D126" s="24" t="str">
        <x:v>P1</x:v>
      </x:c>
      <x:c r="E126" s="24" t="str">
        <x:v>Implementation</x:v>
      </x:c>
      <x:c r="F126" s="24" t="str">
        <x:v>PM allocation</x:v>
      </x:c>
      <x:c r="G126" s="24" t="str">
        <x:v>Allocated hours remain project-specific; validate allocation against assignment dates and project capacity.</x:v>
      </x:c>
      <x:c r="H126" s="24" t="str">
        <x:v>M07,M08,M10</x:v>
      </x:c>
      <x:c r="I126" s="24" t="str"/>
      <x:c r="J126" s="24" t="str">
        <x:v>☐</x:v>
      </x:c>
      <x:c r="K126" s="24" t="str"/>
      <x:c r="L126" s="24"/>
    </x:row>
    <x:row r="127" ht="26.399999618530273" hidden="0" customHeight="1">
      <x:c r="A127" s="24" t="str">
        <x:v>M11</x:v>
      </x:c>
      <x:c r="B127" s="24" t="str">
        <x:v>Contractor Availability &amp; Date-Based Assignment Lifecycle</x:v>
      </x:c>
      <x:c r="C127" s="24" t="str">
        <x:v>Phase B - Workforce operations</x:v>
      </x:c>
      <x:c r="D127" s="24" t="str">
        <x:v>P1</x:v>
      </x:c>
      <x:c r="E127" s="24" t="str">
        <x:v>Implementation</x:v>
      </x:c>
      <x:c r="F127" s="24" t="str">
        <x:v>Frontend</x:v>
      </x:c>
      <x:c r="G127" s="24" t="str">
        <x:v>Availability calendar/list, assignment dates, release action, conflict explanation and upcoming assignment display.</x:v>
      </x:c>
      <x:c r="H127" s="24" t="str">
        <x:v>M07,M08,M10</x:v>
      </x:c>
      <x:c r="I127" s="24" t="str"/>
      <x:c r="J127" s="24" t="str">
        <x:v>☐</x:v>
      </x:c>
      <x:c r="K127" s="24" t="str"/>
      <x:c r="L127" s="24"/>
    </x:row>
    <x:row r="128" ht="26.399999618530273" hidden="0" customHeight="1">
      <x:c r="A128" s="24" t="str">
        <x:v>M11</x:v>
      </x:c>
      <x:c r="B128" s="24" t="str">
        <x:v>Contractor Availability &amp; Date-Based Assignment Lifecycle</x:v>
      </x:c>
      <x:c r="C128" s="24" t="str">
        <x:v>Phase B - Workforce operations</x:v>
      </x:c>
      <x:c r="D128" s="24" t="str">
        <x:v>P1</x:v>
      </x:c>
      <x:c r="E128" s="24" t="str">
        <x:v>Implementation</x:v>
      </x:c>
      <x:c r="F128" s="24" t="str">
        <x:v>Tests</x:v>
      </x:c>
      <x:c r="G128" s="24" t="str">
        <x:v>Boundary dates (touching vs overlapping), concurrent acceptance, release/reassign, unavailability conflicts, project completion releasing remaining active assignments.</x:v>
      </x:c>
      <x:c r="H128" s="24" t="str">
        <x:v>M07,M08,M10</x:v>
      </x:c>
      <x:c r="I128" s="24" t="str"/>
      <x:c r="J128" s="24" t="str">
        <x:v>☐</x:v>
      </x:c>
      <x:c r="K128" s="24" t="str"/>
      <x:c r="L128" s="24"/>
    </x:row>
    <x:row r="129" ht="26.399999618530273" hidden="0" customHeight="1">
      <x:c r="A129" s="24" t="str">
        <x:v>M11</x:v>
      </x:c>
      <x:c r="B129" s="24" t="str">
        <x:v>Contractor Availability &amp; Date-Based Assignment Lifecycle</x:v>
      </x:c>
      <x:c r="C129" s="24" t="str">
        <x:v>Phase B - Workforce operations</x:v>
      </x:c>
      <x:c r="D129" s="24" t="str">
        <x:v>P1</x:v>
      </x:c>
      <x:c r="E129" s="24" t="str">
        <x:v>Acceptance</x:v>
      </x:c>
      <x:c r="F129" s="24" t="str">
        <x:v>Acceptance Criteria</x:v>
      </x:c>
      <x:c r="G129" s="24" t="str">
        <x:v>Contractor can hold sequential future assignments without overlap.</x:v>
      </x:c>
      <x:c r="H129" s="24" t="str">
        <x:v>M07,M08,M10</x:v>
      </x:c>
      <x:c r="I129" s="24" t="str"/>
      <x:c r="J129" s="24" t="str">
        <x:v>☐</x:v>
      </x:c>
      <x:c r="K129" s="24" t="str"/>
      <x:c r="L129" s="24"/>
    </x:row>
    <x:row r="130" ht="26.399999618530273" hidden="0" customHeight="1">
      <x:c r="A130" s="24" t="str">
        <x:v>M11</x:v>
      </x:c>
      <x:c r="B130" s="24" t="str">
        <x:v>Contractor Availability &amp; Date-Based Assignment Lifecycle</x:v>
      </x:c>
      <x:c r="C130" s="24" t="str">
        <x:v>Phase B - Workforce operations</x:v>
      </x:c>
      <x:c r="D130" s="24" t="str">
        <x:v>P1</x:v>
      </x:c>
      <x:c r="E130" s="24" t="str">
        <x:v>Acceptance</x:v>
      </x:c>
      <x:c r="F130" s="24" t="str">
        <x:v>Acceptance Criteria</x:v>
      </x:c>
      <x:c r="G130" s="24" t="str">
        <x:v>Overlapping assignments are rejected race-safely.</x:v>
      </x:c>
      <x:c r="H130" s="24" t="str">
        <x:v>M07,M08,M10</x:v>
      </x:c>
      <x:c r="I130" s="24" t="str"/>
      <x:c r="J130" s="24" t="str">
        <x:v>☐</x:v>
      </x:c>
      <x:c r="K130" s="24" t="str"/>
      <x:c r="L130" s="24"/>
    </x:row>
    <x:row r="131" ht="26.399999618530273" hidden="0" customHeight="1">
      <x:c r="A131" s="24" t="str">
        <x:v>M11</x:v>
      </x:c>
      <x:c r="B131" s="24" t="str">
        <x:v>Contractor Availability &amp; Date-Based Assignment Lifecycle</x:v>
      </x:c>
      <x:c r="C131" s="24" t="str">
        <x:v>Phase B - Workforce operations</x:v>
      </x:c>
      <x:c r="D131" s="24" t="str">
        <x:v>P1</x:v>
      </x:c>
      <x:c r="E131" s="24" t="str">
        <x:v>Acceptance</x:v>
      </x:c>
      <x:c r="F131" s="24" t="str">
        <x:v>Acceptance Criteria</x:v>
      </x:c>
      <x:c r="G131" s="24" t="str">
        <x:v>One contractor can be released without completing the project.</x:v>
      </x:c>
      <x:c r="H131" s="24" t="str">
        <x:v>M07,M08,M10</x:v>
      </x:c>
      <x:c r="I131" s="24" t="str"/>
      <x:c r="J131" s="24" t="str">
        <x:v>☐</x:v>
      </x:c>
      <x:c r="K131" s="24" t="str"/>
      <x:c r="L131" s="24"/>
    </x:row>
    <x:row r="132" ht="39.599998474121094" hidden="0" customHeight="1">
      <x:c r="A132" s="24" t="str">
        <x:v>M12</x:v>
      </x:c>
      <x:c r="B132" s="24" t="str">
        <x:v>Candidate Submission -&gt; PM Acceptance Workflow</x:v>
      </x:c>
      <x:c r="C132" s="24" t="str">
        <x:v>Phase B - Workforce operations</x:v>
      </x:c>
      <x:c r="D132" s="24" t="str">
        <x:v>P1</x:v>
      </x:c>
      <x:c r="E132" s="24" t="str">
        <x:v>Implementation</x:v>
      </x:c>
      <x:c r="F132" s="24" t="str">
        <x:v>Database</x:v>
      </x:c>
      <x:c r="G132" s="24" t="str">
        <x:v>Add `candidate_submissions` with project, requirement, contractor, vendor, proposed dates/rate, status SUBMITTED/SHORTLISTED/ACCEPTED/REJECTED/WITHDRAWN, vendor_note, pm_note, timestamps/reviewer.</x:v>
      </x:c>
      <x:c r="H132" s="24" t="str">
        <x:v>M09,M11</x:v>
      </x:c>
      <x:c r="I132" s="24" t="str"/>
      <x:c r="J132" s="24" t="str">
        <x:v>☐</x:v>
      </x:c>
      <x:c r="K132" s="24" t="str"/>
      <x:c r="L132" s="24"/>
    </x:row>
    <x:row r="133" ht="26.399999618530273" hidden="0" customHeight="1">
      <x:c r="A133" s="24" t="str">
        <x:v>M12</x:v>
      </x:c>
      <x:c r="B133" s="24" t="str">
        <x:v>Candidate Submission -&gt; PM Acceptance Workflow</x:v>
      </x:c>
      <x:c r="C133" s="24" t="str">
        <x:v>Phase B - Workforce operations</x:v>
      </x:c>
      <x:c r="D133" s="24" t="str">
        <x:v>P1</x:v>
      </x:c>
      <x:c r="E133" s="24" t="str">
        <x:v>Implementation</x:v>
      </x:c>
      <x:c r="F133" s="24" t="str">
        <x:v>Vendor API</x:v>
      </x:c>
      <x:c r="G133" s="24" t="str">
        <x:v>Submit eligible contractor to an authorized requirement; withdraw only before acceptance; prevent duplicate active submission for same contractor+requirement.</x:v>
      </x:c>
      <x:c r="H133" s="24" t="str">
        <x:v>M09,M11</x:v>
      </x:c>
      <x:c r="I133" s="24" t="str"/>
      <x:c r="J133" s="24" t="str">
        <x:v>☐</x:v>
      </x:c>
      <x:c r="K133" s="24" t="str"/>
      <x:c r="L133" s="24"/>
    </x:row>
    <x:row r="134" ht="39.599998474121094" hidden="0" customHeight="1">
      <x:c r="A134" s="24" t="str">
        <x:v>M12</x:v>
      </x:c>
      <x:c r="B134" s="24" t="str">
        <x:v>Candidate Submission -&gt; PM Acceptance Workflow</x:v>
      </x:c>
      <x:c r="C134" s="24" t="str">
        <x:v>Phase B - Workforce operations</x:v>
      </x:c>
      <x:c r="D134" s="24" t="str">
        <x:v>P1</x:v>
      </x:c>
      <x:c r="E134" s="24" t="str">
        <x:v>Implementation</x:v>
      </x:c>
      <x:c r="F134" s="24" t="str">
        <x:v>PM API</x:v>
      </x:c>
      <x:c r="G134" s="24" t="str">
        <x:v>Review candidate, shortlist, accept or reject with reason. Acceptance runs in one transaction and rechecks project/vendor access, open requirement capacity, compliance, skill, date availability and conflicts.</x:v>
      </x:c>
      <x:c r="H134" s="24" t="str">
        <x:v>M09,M11</x:v>
      </x:c>
      <x:c r="I134" s="24" t="str"/>
      <x:c r="J134" s="24" t="str">
        <x:v>☐</x:v>
      </x:c>
      <x:c r="K134" s="24" t="str"/>
      <x:c r="L134" s="24"/>
    </x:row>
    <x:row r="135" ht="26.399999618530273" hidden="0" customHeight="1">
      <x:c r="A135" s="24" t="str">
        <x:v>M12</x:v>
      </x:c>
      <x:c r="B135" s="24" t="str">
        <x:v>Candidate Submission -&gt; PM Acceptance Workflow</x:v>
      </x:c>
      <x:c r="C135" s="24" t="str">
        <x:v>Phase B - Workforce operations</x:v>
      </x:c>
      <x:c r="D135" s="24" t="str">
        <x:v>P1</x:v>
      </x:c>
      <x:c r="E135" s="24" t="str">
        <x:v>Implementation</x:v>
      </x:c>
      <x:c r="F135" s="24" t="str">
        <x:v>Assignment</x:v>
      </x:c>
      <x:c r="G135" s="24" t="str">
        <x:v>Only ACCEPTED candidate creates the project_assignment row; retire direct vendor assignment from normal UI after migration.</x:v>
      </x:c>
      <x:c r="H135" s="24" t="str">
        <x:v>M09,M11</x:v>
      </x:c>
      <x:c r="I135" s="24" t="str"/>
      <x:c r="J135" s="24" t="str">
        <x:v>☐</x:v>
      </x:c>
      <x:c r="K135" s="24" t="str"/>
      <x:c r="L135" s="24"/>
    </x:row>
    <x:row r="136" ht="39.599998474121094" hidden="0" customHeight="1">
      <x:c r="A136" s="24" t="str">
        <x:v>M12</x:v>
      </x:c>
      <x:c r="B136" s="24" t="str">
        <x:v>Candidate Submission -&gt; PM Acceptance Workflow</x:v>
      </x:c>
      <x:c r="C136" s="24" t="str">
        <x:v>Phase B - Workforce operations</x:v>
      </x:c>
      <x:c r="D136" s="24" t="str">
        <x:v>P1</x:v>
      </x:c>
      <x:c r="E136" s="24" t="str">
        <x:v>Implementation</x:v>
      </x:c>
      <x:c r="F136" s="24" t="str">
        <x:v>Rate</x:v>
      </x:c>
      <x:c r="G136" s="24" t="str">
        <x:v>Snapshot proposed/selected assignment rate or rate-card reference at acceptance once M15 is available; until then preserve current hourly_rate behavior with explicit migration note.</x:v>
      </x:c>
      <x:c r="H136" s="24" t="str">
        <x:v>M09,M11</x:v>
      </x:c>
      <x:c r="I136" s="24" t="str"/>
      <x:c r="J136" s="24" t="str">
        <x:v>☐</x:v>
      </x:c>
      <x:c r="K136" s="24" t="str"/>
      <x:c r="L136" s="24"/>
    </x:row>
    <x:row r="137" ht="26.399999618530273" hidden="0" customHeight="1">
      <x:c r="A137" s="24" t="str">
        <x:v>M12</x:v>
      </x:c>
      <x:c r="B137" s="24" t="str">
        <x:v>Candidate Submission -&gt; PM Acceptance Workflow</x:v>
      </x:c>
      <x:c r="C137" s="24" t="str">
        <x:v>Phase B - Workforce operations</x:v>
      </x:c>
      <x:c r="D137" s="24" t="str">
        <x:v>P1</x:v>
      </x:c>
      <x:c r="E137" s="24" t="str">
        <x:v>Implementation</x:v>
      </x:c>
      <x:c r="F137" s="24" t="str">
        <x:v>Frontend</x:v>
      </x:c>
      <x:c r="G137" s="24" t="str">
        <x:v>Vendor requirement candidate picker + submission status; PM candidate queue/detail + accept/reject; contractor sees assignment only after acceptance.</x:v>
      </x:c>
      <x:c r="H137" s="24" t="str">
        <x:v>M09,M11</x:v>
      </x:c>
      <x:c r="I137" s="24" t="str"/>
      <x:c r="J137" s="24" t="str">
        <x:v>☐</x:v>
      </x:c>
      <x:c r="K137" s="24" t="str"/>
      <x:c r="L137" s="24"/>
    </x:row>
    <x:row r="138" ht="26.399999618530273" hidden="0" customHeight="1">
      <x:c r="A138" s="24" t="str">
        <x:v>M12</x:v>
      </x:c>
      <x:c r="B138" s="24" t="str">
        <x:v>Candidate Submission -&gt; PM Acceptance Workflow</x:v>
      </x:c>
      <x:c r="C138" s="24" t="str">
        <x:v>Phase B - Workforce operations</x:v>
      </x:c>
      <x:c r="D138" s="24" t="str">
        <x:v>P1</x:v>
      </x:c>
      <x:c r="E138" s="24" t="str">
        <x:v>Implementation</x:v>
      </x:c>
      <x:c r="F138" s="24" t="str">
        <x:v>Audit</x:v>
      </x:c>
      <x:c r="G138" s="24" t="str">
        <x:v>Every submission/status transition is logged.</x:v>
      </x:c>
      <x:c r="H138" s="24" t="str">
        <x:v>M09,M11</x:v>
      </x:c>
      <x:c r="I138" s="24" t="str"/>
      <x:c r="J138" s="24" t="str">
        <x:v>☐</x:v>
      </x:c>
      <x:c r="K138" s="24" t="str"/>
      <x:c r="L138" s="24"/>
    </x:row>
    <x:row r="139" ht="26.399999618530273" hidden="0" customHeight="1">
      <x:c r="A139" s="24" t="str">
        <x:v>M12</x:v>
      </x:c>
      <x:c r="B139" s="24" t="str">
        <x:v>Candidate Submission -&gt; PM Acceptance Workflow</x:v>
      </x:c>
      <x:c r="C139" s="24" t="str">
        <x:v>Phase B - Workforce operations</x:v>
      </x:c>
      <x:c r="D139" s="24" t="str">
        <x:v>P1</x:v>
      </x:c>
      <x:c r="E139" s="24" t="str">
        <x:v>Implementation</x:v>
      </x:c>
      <x:c r="F139" s="24" t="str">
        <x:v>Tests</x:v>
      </x:c>
      <x:c r="G139" s="24" t="str">
        <x:v>Double-submit, two PM acceptance races on last slot, compliance expiry between submit/accept, vendor-project access revocation, withdrawal and rejection.</x:v>
      </x:c>
      <x:c r="H139" s="24" t="str">
        <x:v>M09,M11</x:v>
      </x:c>
      <x:c r="I139" s="24" t="str"/>
      <x:c r="J139" s="24" t="str">
        <x:v>☐</x:v>
      </x:c>
      <x:c r="K139" s="24" t="str"/>
      <x:c r="L139" s="24"/>
    </x:row>
    <x:row r="140" ht="26.399999618530273" hidden="0" customHeight="1">
      <x:c r="A140" s="24" t="str">
        <x:v>M12</x:v>
      </x:c>
      <x:c r="B140" s="24" t="str">
        <x:v>Candidate Submission -&gt; PM Acceptance Workflow</x:v>
      </x:c>
      <x:c r="C140" s="24" t="str">
        <x:v>Phase B - Workforce operations</x:v>
      </x:c>
      <x:c r="D140" s="24" t="str">
        <x:v>P1</x:v>
      </x:c>
      <x:c r="E140" s="24" t="str">
        <x:v>Acceptance</x:v>
      </x:c>
      <x:c r="F140" s="24" t="str">
        <x:v>Acceptance Criteria</x:v>
      </x:c>
      <x:c r="G140" s="24" t="str">
        <x:v>Vendor cannot directly place a worker into a client project.</x:v>
      </x:c>
      <x:c r="H140" s="24" t="str">
        <x:v>M09,M11</x:v>
      </x:c>
      <x:c r="I140" s="24" t="str"/>
      <x:c r="J140" s="24" t="str">
        <x:v>☐</x:v>
      </x:c>
      <x:c r="K140" s="24" t="str"/>
      <x:c r="L140" s="24"/>
    </x:row>
    <x:row r="141" ht="26.399999618530273" hidden="0" customHeight="1">
      <x:c r="A141" s="24" t="str">
        <x:v>M12</x:v>
      </x:c>
      <x:c r="B141" s="24" t="str">
        <x:v>Candidate Submission -&gt; PM Acceptance Workflow</x:v>
      </x:c>
      <x:c r="C141" s="24" t="str">
        <x:v>Phase B - Workforce operations</x:v>
      </x:c>
      <x:c r="D141" s="24" t="str">
        <x:v>P1</x:v>
      </x:c>
      <x:c r="E141" s="24" t="str">
        <x:v>Acceptance</x:v>
      </x:c>
      <x:c r="F141" s="24" t="str">
        <x:v>Acceptance Criteria</x:v>
      </x:c>
      <x:c r="G141" s="24" t="str">
        <x:v>PM acceptance is the only normal path that creates an assignment.</x:v>
      </x:c>
      <x:c r="H141" s="24" t="str">
        <x:v>M09,M11</x:v>
      </x:c>
      <x:c r="I141" s="24" t="str"/>
      <x:c r="J141" s="24" t="str">
        <x:v>☐</x:v>
      </x:c>
      <x:c r="K141" s="24" t="str"/>
      <x:c r="L141" s="24"/>
    </x:row>
    <x:row r="142" ht="26.399999618530273" hidden="0" customHeight="1">
      <x:c r="A142" s="24" t="str">
        <x:v>M12</x:v>
      </x:c>
      <x:c r="B142" s="24" t="str">
        <x:v>Candidate Submission -&gt; PM Acceptance Workflow</x:v>
      </x:c>
      <x:c r="C142" s="24" t="str">
        <x:v>Phase B - Workforce operations</x:v>
      </x:c>
      <x:c r="D142" s="24" t="str">
        <x:v>P1</x:v>
      </x:c>
      <x:c r="E142" s="24" t="str">
        <x:v>Acceptance</x:v>
      </x:c>
      <x:c r="F142" s="24" t="str">
        <x:v>Acceptance Criteria</x:v>
      </x:c>
      <x:c r="G142" s="24" t="str">
        <x:v>Last-slot and overlap races cannot over-assign.</x:v>
      </x:c>
      <x:c r="H142" s="24" t="str">
        <x:v>M09,M11</x:v>
      </x:c>
      <x:c r="I142" s="24" t="str"/>
      <x:c r="J142" s="24" t="str">
        <x:v>☐</x:v>
      </x:c>
      <x:c r="K142" s="24" t="str"/>
      <x:c r="L142" s="24"/>
    </x:row>
    <x:row r="143" ht="26.399999618530273" hidden="0" customHeight="1">
      <x:c r="A143" s="24" t="str">
        <x:v>M13</x:v>
      </x:c>
      <x:c r="B143" s="24" t="str">
        <x:v>Staffing Pipeline, Approval SLA &amp; Escalation</x:v>
      </x:c>
      <x:c r="C143" s="24" t="str">
        <x:v>Phase B - Workforce operations</x:v>
      </x:c>
      <x:c r="D143" s="24" t="str">
        <x:v>P1</x:v>
      </x:c>
      <x:c r="E143" s="24" t="str">
        <x:v>Implementation</x:v>
      </x:c>
      <x:c r="F143" s="24" t="str">
        <x:v>Derived metrics</x:v>
      </x:c>
      <x:c r="G143" s="24" t="str">
        <x:v>For each requirement derive available/submitted/shortlisted/accepted/assigned/open counts; do not store counts that can drift.</x:v>
      </x:c>
      <x:c r="H143" s="24" t="str">
        <x:v>M12,M10</x:v>
      </x:c>
      <x:c r="I143" s="24" t="str"/>
      <x:c r="J143" s="24" t="str">
        <x:v>☐</x:v>
      </x:c>
      <x:c r="K143" s="24" t="str"/>
      <x:c r="L143" s="24"/>
    </x:row>
    <x:row r="144" ht="26.399999618530273" hidden="0" customHeight="1">
      <x:c r="A144" s="24" t="str">
        <x:v>M13</x:v>
      </x:c>
      <x:c r="B144" s="24" t="str">
        <x:v>Staffing Pipeline, Approval SLA &amp; Escalation</x:v>
      </x:c>
      <x:c r="C144" s="24" t="str">
        <x:v>Phase B - Workforce operations</x:v>
      </x:c>
      <x:c r="D144" s="24" t="str">
        <x:v>P1</x:v>
      </x:c>
      <x:c r="E144" s="24" t="str">
        <x:v>Implementation</x:v>
      </x:c>
      <x:c r="F144" s="24" t="str">
        <x:v>SLA policy</x:v>
      </x:c>
      <x:c r="G144" s="24" t="str">
        <x:v>Add project/client setting for candidate_response_sla_hours and later reuse a generic approval SLA model for timesheets/invoices.</x:v>
      </x:c>
      <x:c r="H144" s="24" t="str">
        <x:v>M12,M10</x:v>
      </x:c>
      <x:c r="I144" s="24" t="str"/>
      <x:c r="J144" s="24" t="str">
        <x:v>☐</x:v>
      </x:c>
      <x:c r="K144" s="24" t="str"/>
      <x:c r="L144" s="24"/>
    </x:row>
    <x:row r="145" ht="26.399999618530273" hidden="0" customHeight="1">
      <x:c r="A145" s="24" t="str">
        <x:v>M13</x:v>
      </x:c>
      <x:c r="B145" s="24" t="str">
        <x:v>Staffing Pipeline, Approval SLA &amp; Escalation</x:v>
      </x:c>
      <x:c r="C145" s="24" t="str">
        <x:v>Phase B - Workforce operations</x:v>
      </x:c>
      <x:c r="D145" s="24" t="str">
        <x:v>P1</x:v>
      </x:c>
      <x:c r="E145" s="24" t="str">
        <x:v>Implementation</x:v>
      </x:c>
      <x:c r="F145" s="24" t="str">
        <x:v>Status</x:v>
      </x:c>
      <x:c r="G145" s="24" t="str">
        <x:v>Compute `due_at`/breach at read time from submitted_at + policy; optionally persist escalation acknowledgement, not the derived breach itself.</x:v>
      </x:c>
      <x:c r="H145" s="24" t="str">
        <x:v>M12,M10</x:v>
      </x:c>
      <x:c r="I145" s="24" t="str"/>
      <x:c r="J145" s="24" t="str">
        <x:v>☐</x:v>
      </x:c>
      <x:c r="K145" s="24" t="str"/>
      <x:c r="L145" s="24"/>
    </x:row>
    <x:row r="146" ht="26.399999618530273" hidden="0" customHeight="1">
      <x:c r="A146" s="24" t="str">
        <x:v>M13</x:v>
      </x:c>
      <x:c r="B146" s="24" t="str">
        <x:v>Staffing Pipeline, Approval SLA &amp; Escalation</x:v>
      </x:c>
      <x:c r="C146" s="24" t="str">
        <x:v>Phase B - Workforce operations</x:v>
      </x:c>
      <x:c r="D146" s="24" t="str">
        <x:v>P1</x:v>
      </x:c>
      <x:c r="E146" s="24" t="str">
        <x:v>Implementation</x:v>
      </x:c>
      <x:c r="F146" s="24" t="str">
        <x:v>Dashboard</x:v>
      </x:c>
      <x:c r="G146" s="24" t="str">
        <x:v>Vendor sees requirements with stalled submissions; PM sees oldest candidate reviews and open demand.</x:v>
      </x:c>
      <x:c r="H146" s="24" t="str">
        <x:v>M12,M10</x:v>
      </x:c>
      <x:c r="I146" s="24" t="str"/>
      <x:c r="J146" s="24" t="str">
        <x:v>☐</x:v>
      </x:c>
      <x:c r="K146" s="24" t="str"/>
      <x:c r="L146" s="24"/>
    </x:row>
    <x:row r="147" ht="15" hidden="0" customHeight="1">
      <x:c r="A147" s="24" t="str">
        <x:v>M13</x:v>
      </x:c>
      <x:c r="B147" s="24" t="str">
        <x:v>Staffing Pipeline, Approval SLA &amp; Escalation</x:v>
      </x:c>
      <x:c r="C147" s="24" t="str">
        <x:v>Phase B - Workforce operations</x:v>
      </x:c>
      <x:c r="D147" s="24" t="str">
        <x:v>P1</x:v>
      </x:c>
      <x:c r="E147" s="24" t="str">
        <x:v>Implementation</x:v>
      </x:c>
      <x:c r="F147" s="24" t="str">
        <x:v>Filters</x:v>
      </x:c>
      <x:c r="G147" s="24" t="str">
        <x:v>By client/project/skill/status/SLA breached.</x:v>
      </x:c>
      <x:c r="H147" s="24" t="str">
        <x:v>M12,M10</x:v>
      </x:c>
      <x:c r="I147" s="24" t="str"/>
      <x:c r="J147" s="24" t="str">
        <x:v>☐</x:v>
      </x:c>
      <x:c r="K147" s="24" t="str"/>
      <x:c r="L147" s="24"/>
    </x:row>
    <x:row r="148" ht="26.399999618530273" hidden="0" customHeight="1">
      <x:c r="A148" s="24" t="str">
        <x:v>M13</x:v>
      </x:c>
      <x:c r="B148" s="24" t="str">
        <x:v>Staffing Pipeline, Approval SLA &amp; Escalation</x:v>
      </x:c>
      <x:c r="C148" s="24" t="str">
        <x:v>Phase B - Workforce operations</x:v>
      </x:c>
      <x:c r="D148" s="24" t="str">
        <x:v>P1</x:v>
      </x:c>
      <x:c r="E148" s="24" t="str">
        <x:v>Implementation</x:v>
      </x:c>
      <x:c r="F148" s="24" t="str">
        <x:v>Tests</x:v>
      </x:c>
      <x:c r="G148" s="24" t="str">
        <x:v>Correct funnel counts under rejection/withdrawal/acceptance, SLA timezone boundaries and access scoping.</x:v>
      </x:c>
      <x:c r="H148" s="24" t="str">
        <x:v>M12,M10</x:v>
      </x:c>
      <x:c r="I148" s="24" t="str"/>
      <x:c r="J148" s="24" t="str">
        <x:v>☐</x:v>
      </x:c>
      <x:c r="K148" s="24" t="str"/>
      <x:c r="L148" s="24"/>
    </x:row>
    <x:row r="149" ht="15" hidden="0" customHeight="1">
      <x:c r="A149" s="24" t="str">
        <x:v>M13</x:v>
      </x:c>
      <x:c r="B149" s="24" t="str">
        <x:v>Staffing Pipeline, Approval SLA &amp; Escalation</x:v>
      </x:c>
      <x:c r="C149" s="24" t="str">
        <x:v>Phase B - Workforce operations</x:v>
      </x:c>
      <x:c r="D149" s="24" t="str">
        <x:v>P1</x:v>
      </x:c>
      <x:c r="E149" s="24" t="str">
        <x:v>Acceptance</x:v>
      </x:c>
      <x:c r="F149" s="24" t="str">
        <x:v>Acceptance Criteria</x:v>
      </x:c>
      <x:c r="G149" s="24" t="str">
        <x:v>One screen answers how many positions are still open and where candidates are stuck.</x:v>
      </x:c>
      <x:c r="H149" s="24" t="str">
        <x:v>M12,M10</x:v>
      </x:c>
      <x:c r="I149" s="24" t="str"/>
      <x:c r="J149" s="24" t="str">
        <x:v>☐</x:v>
      </x:c>
      <x:c r="K149" s="24" t="str"/>
      <x:c r="L149" s="24"/>
    </x:row>
    <x:row r="150" ht="15" hidden="0" customHeight="1">
      <x:c r="A150" s="24" t="str">
        <x:v>M13</x:v>
      </x:c>
      <x:c r="B150" s="24" t="str">
        <x:v>Staffing Pipeline, Approval SLA &amp; Escalation</x:v>
      </x:c>
      <x:c r="C150" s="24" t="str">
        <x:v>Phase B - Workforce operations</x:v>
      </x:c>
      <x:c r="D150" s="24" t="str">
        <x:v>P1</x:v>
      </x:c>
      <x:c r="E150" s="24" t="str">
        <x:v>Acceptance</x:v>
      </x:c>
      <x:c r="F150" s="24" t="str">
        <x:v>Acceptance Criteria</x:v>
      </x:c>
      <x:c r="G150" s="24" t="str">
        <x:v>SLA breach is based on explicit policy/time, not a fabricated status.</x:v>
      </x:c>
      <x:c r="H150" s="24" t="str">
        <x:v>M12,M10</x:v>
      </x:c>
      <x:c r="I150" s="24" t="str"/>
      <x:c r="J150" s="24" t="str">
        <x:v>☐</x:v>
      </x:c>
      <x:c r="K150" s="24" t="str"/>
      <x:c r="L150" s="24"/>
    </x:row>
    <x:row r="151" ht="26.399999618530273" hidden="0" customHeight="1">
      <x:c r="A151" s="24" t="str">
        <x:v>M14</x:v>
      </x:c>
      <x:c r="B151" s="24" t="str">
        <x:v>In-App Notifications &amp; Preferences</x:v>
      </x:c>
      <x:c r="C151" s="24" t="str">
        <x:v>Phase B - Workforce operations</x:v>
      </x:c>
      <x:c r="D151" s="24" t="str">
        <x:v>P1</x:v>
      </x:c>
      <x:c r="E151" s="24" t="str">
        <x:v>Implementation</x:v>
      </x:c>
      <x:c r="F151" s="24" t="str">
        <x:v>Database</x:v>
      </x:c>
      <x:c r="G151" s="24" t="str">
        <x:v>Add `notifications` and `notification_preferences` (event type, in-app enabled, email later, quiet hours optional later).</x:v>
      </x:c>
      <x:c r="H151" s="24" t="str">
        <x:v>M06,M12,M13</x:v>
      </x:c>
      <x:c r="I151" s="24" t="str"/>
      <x:c r="J151" s="24" t="str">
        <x:v>☐</x:v>
      </x:c>
      <x:c r="K151" s="24" t="str"/>
      <x:c r="L151" s="24"/>
    </x:row>
    <x:row r="152" ht="26.399999618530273" hidden="0" customHeight="1">
      <x:c r="A152" s="24" t="str">
        <x:v>M14</x:v>
      </x:c>
      <x:c r="B152" s="24" t="str">
        <x:v>In-App Notifications &amp; Preferences</x:v>
      </x:c>
      <x:c r="C152" s="24" t="str">
        <x:v>Phase B - Workforce operations</x:v>
      </x:c>
      <x:c r="D152" s="24" t="str">
        <x:v>P1</x:v>
      </x:c>
      <x:c r="E152" s="24" t="str">
        <x:v>Implementation</x:v>
      </x:c>
      <x:c r="F152" s="24" t="str">
        <x:v>Backend</x:v>
      </x:c>
      <x:c r="G152" s="24" t="str">
        <x:v>Create notification service called only after business commit; notification failure must never roll back staffing/timesheet/invoice state.</x:v>
      </x:c>
      <x:c r="H152" s="24" t="str">
        <x:v>M06,M12,M13</x:v>
      </x:c>
      <x:c r="I152" s="24" t="str"/>
      <x:c r="J152" s="24" t="str">
        <x:v>☐</x:v>
      </x:c>
      <x:c r="K152" s="24" t="str"/>
      <x:c r="L152" s="24"/>
    </x:row>
    <x:row r="153" ht="39.599998474121094" hidden="0" customHeight="1">
      <x:c r="A153" s="24" t="str">
        <x:v>M14</x:v>
      </x:c>
      <x:c r="B153" s="24" t="str">
        <x:v>In-App Notifications &amp; Preferences</x:v>
      </x:c>
      <x:c r="C153" s="24" t="str">
        <x:v>Phase B - Workforce operations</x:v>
      </x:c>
      <x:c r="D153" s="24" t="str">
        <x:v>P1</x:v>
      </x:c>
      <x:c r="E153" s="24" t="str">
        <x:v>Implementation</x:v>
      </x:c>
      <x:c r="F153" s="24" t="str">
        <x:v>Events</x:v>
      </x:c>
      <x:c r="G153" s="24" t="str">
        <x:v>Start with candidate submitted/accepted/rejected, assignment created/released, timesheet submitted/approved/rejected, document expiring, milestone met/billing eligible. Extend invoice/payment events in M17-M19.</x:v>
      </x:c>
      <x:c r="H153" s="24" t="str">
        <x:v>M06,M12,M13</x:v>
      </x:c>
      <x:c r="I153" s="24" t="str"/>
      <x:c r="J153" s="24" t="str">
        <x:v>☐</x:v>
      </x:c>
      <x:c r="K153" s="24" t="str"/>
      <x:c r="L153" s="24"/>
    </x:row>
    <x:row r="154" ht="26.399999618530273" hidden="0" customHeight="1">
      <x:c r="A154" s="24" t="str">
        <x:v>M14</x:v>
      </x:c>
      <x:c r="B154" s="24" t="str">
        <x:v>In-App Notifications &amp; Preferences</x:v>
      </x:c>
      <x:c r="C154" s="24" t="str">
        <x:v>Phase B - Workforce operations</x:v>
      </x:c>
      <x:c r="D154" s="24" t="str">
        <x:v>P1</x:v>
      </x:c>
      <x:c r="E154" s="24" t="str">
        <x:v>Implementation</x:v>
      </x:c>
      <x:c r="F154" s="24" t="str">
        <x:v>Frontend</x:v>
      </x:c>
      <x:c r="G154" s="24" t="str">
        <x:v>Bell/inbox, unread count, mark read/all read, deep links to relevant entity, per-event preference page.</x:v>
      </x:c>
      <x:c r="H154" s="24" t="str">
        <x:v>M06,M12,M13</x:v>
      </x:c>
      <x:c r="I154" s="24" t="str"/>
      <x:c r="J154" s="24" t="str">
        <x:v>☐</x:v>
      </x:c>
      <x:c r="K154" s="24" t="str"/>
      <x:c r="L154" s="24"/>
    </x:row>
    <x:row r="155" ht="26.399999618530273" hidden="0" customHeight="1">
      <x:c r="A155" s="24" t="str">
        <x:v>M14</x:v>
      </x:c>
      <x:c r="B155" s="24" t="str">
        <x:v>In-App Notifications &amp; Preferences</x:v>
      </x:c>
      <x:c r="C155" s="24" t="str">
        <x:v>Phase B - Workforce operations</x:v>
      </x:c>
      <x:c r="D155" s="24" t="str">
        <x:v>P1</x:v>
      </x:c>
      <x:c r="E155" s="24" t="str">
        <x:v>Implementation</x:v>
      </x:c>
      <x:c r="F155" s="24" t="str">
        <x:v>Privacy</x:v>
      </x:c>
      <x:c r="G155" s="24" t="str">
        <x:v>Keep messages generic enough for shared screens; do not include sensitive document content.</x:v>
      </x:c>
      <x:c r="H155" s="24" t="str">
        <x:v>M06,M12,M13</x:v>
      </x:c>
      <x:c r="I155" s="24" t="str"/>
      <x:c r="J155" s="24" t="str">
        <x:v>☐</x:v>
      </x:c>
      <x:c r="K155" s="24" t="str"/>
      <x:c r="L155" s="24"/>
    </x:row>
    <x:row r="156" ht="26.399999618530273" hidden="0" customHeight="1">
      <x:c r="A156" s="24" t="str">
        <x:v>M14</x:v>
      </x:c>
      <x:c r="B156" s="24" t="str">
        <x:v>In-App Notifications &amp; Preferences</x:v>
      </x:c>
      <x:c r="C156" s="24" t="str">
        <x:v>Phase B - Workforce operations</x:v>
      </x:c>
      <x:c r="D156" s="24" t="str">
        <x:v>P1</x:v>
      </x:c>
      <x:c r="E156" s="24" t="str">
        <x:v>Implementation</x:v>
      </x:c>
      <x:c r="F156" s="24" t="str">
        <x:v>Reliability</x:v>
      </x:c>
      <x:c r="G156" s="24" t="str">
        <x:v>For portfolio scale, persisted in-app notification rows are sufficient; add an outbox/worker only if deployment reliability later requires it.</x:v>
      </x:c>
      <x:c r="H156" s="24" t="str">
        <x:v>M06,M12,M13</x:v>
      </x:c>
      <x:c r="I156" s="24" t="str"/>
      <x:c r="J156" s="24" t="str">
        <x:v>☐</x:v>
      </x:c>
      <x:c r="K156" s="24" t="str"/>
      <x:c r="L156" s="24"/>
    </x:row>
    <x:row r="157" ht="26.399999618530273" hidden="0" customHeight="1">
      <x:c r="A157" s="24" t="str">
        <x:v>M14</x:v>
      </x:c>
      <x:c r="B157" s="24" t="str">
        <x:v>In-App Notifications &amp; Preferences</x:v>
      </x:c>
      <x:c r="C157" s="24" t="str">
        <x:v>Phase B - Workforce operations</x:v>
      </x:c>
      <x:c r="D157" s="24" t="str">
        <x:v>P1</x:v>
      </x:c>
      <x:c r="E157" s="24" t="str">
        <x:v>Implementation</x:v>
      </x:c>
      <x:c r="F157" s="24" t="str">
        <x:v>Tests</x:v>
      </x:c>
      <x:c r="G157" s="24" t="str">
        <x:v>No duplicate notification on retry/idempotent mutation, correct recipient role, deep-link authorization.</x:v>
      </x:c>
      <x:c r="H157" s="24" t="str">
        <x:v>M06,M12,M13</x:v>
      </x:c>
      <x:c r="I157" s="24" t="str"/>
      <x:c r="J157" s="24" t="str">
        <x:v>☐</x:v>
      </x:c>
      <x:c r="K157" s="24" t="str"/>
      <x:c r="L157" s="24"/>
    </x:row>
    <x:row r="158" ht="15" hidden="0" customHeight="1">
      <x:c r="A158" s="24" t="str">
        <x:v>M14</x:v>
      </x:c>
      <x:c r="B158" s="24" t="str">
        <x:v>In-App Notifications &amp; Preferences</x:v>
      </x:c>
      <x:c r="C158" s="24" t="str">
        <x:v>Phase B - Workforce operations</x:v>
      </x:c>
      <x:c r="D158" s="24" t="str">
        <x:v>P1</x:v>
      </x:c>
      <x:c r="E158" s="24" t="str">
        <x:v>Acceptance</x:v>
      </x:c>
      <x:c r="F158" s="24" t="str">
        <x:v>Acceptance Criteria</x:v>
      </x:c>
      <x:c r="G158" s="24" t="str">
        <x:v>A user can see actionable state changes without manually polling every page.</x:v>
      </x:c>
      <x:c r="H158" s="24" t="str">
        <x:v>M06,M12,M13</x:v>
      </x:c>
      <x:c r="I158" s="24" t="str"/>
      <x:c r="J158" s="24" t="str">
        <x:v>☐</x:v>
      </x:c>
      <x:c r="K158" s="24" t="str"/>
      <x:c r="L158" s="24"/>
    </x:row>
    <x:row r="159" ht="15" hidden="0" customHeight="1">
      <x:c r="A159" s="24" t="str">
        <x:v>M14</x:v>
      </x:c>
      <x:c r="B159" s="24" t="str">
        <x:v>In-App Notifications &amp; Preferences</x:v>
      </x:c>
      <x:c r="C159" s="24" t="str">
        <x:v>Phase B - Workforce operations</x:v>
      </x:c>
      <x:c r="D159" s="24" t="str">
        <x:v>P1</x:v>
      </x:c>
      <x:c r="E159" s="24" t="str">
        <x:v>Acceptance</x:v>
      </x:c>
      <x:c r="F159" s="24" t="str">
        <x:v>Acceptance Criteria</x:v>
      </x:c>
      <x:c r="G159" s="24" t="str">
        <x:v>Notification failure cannot undo a committed business transaction.</x:v>
      </x:c>
      <x:c r="H159" s="24" t="str">
        <x:v>M06,M12,M13</x:v>
      </x:c>
      <x:c r="I159" s="24" t="str"/>
      <x:c r="J159" s="24" t="str">
        <x:v>☐</x:v>
      </x:c>
      <x:c r="K159" s="24" t="str"/>
      <x:c r="L159" s="24"/>
    </x:row>
    <x:row r="160" ht="15" hidden="0" customHeight="1">
      <x:c r="A160" s="24" t="str">
        <x:v>M14</x:v>
      </x:c>
      <x:c r="B160" s="24" t="str">
        <x:v>In-App Notifications &amp; Preferences</x:v>
      </x:c>
      <x:c r="C160" s="24" t="str">
        <x:v>Phase B - Workforce operations</x:v>
      </x:c>
      <x:c r="D160" s="24" t="str">
        <x:v>P1</x:v>
      </x:c>
      <x:c r="E160" s="24" t="str">
        <x:v>Acceptance</x:v>
      </x:c>
      <x:c r="F160" s="24" t="str">
        <x:v>Acceptance Criteria</x:v>
      </x:c>
      <x:c r="G160" s="24" t="str">
        <x:v>Users can disable non-critical event types.</x:v>
      </x:c>
      <x:c r="H160" s="24" t="str">
        <x:v>M06,M12,M13</x:v>
      </x:c>
      <x:c r="I160" s="24" t="str"/>
      <x:c r="J160" s="24" t="str">
        <x:v>☐</x:v>
      </x:c>
      <x:c r="K160" s="24" t="str"/>
      <x:c r="L160" s="24"/>
    </x:row>
    <x:row r="161" ht="52.79999923706055" hidden="0" customHeight="1">
      <x:c r="A161" s="24" t="str">
        <x:v>M15</x:v>
      </x:c>
      <x:c r="B161" s="24" t="str">
        <x:v>Rate Cards, Assignment Rate Snapshots &amp; Rate History</x:v>
      </x:c>
      <x:c r="C161" s="24" t="str">
        <x:v>Phase C - Commercial lifecycle</x:v>
      </x:c>
      <x:c r="D161" s="24" t="str">
        <x:v>P1</x:v>
      </x:c>
      <x:c r="E161" s="24" t="str">
        <x:v>Implementation</x:v>
      </x:c>
      <x:c r="F161" s="24" t="str">
        <x:v>Database</x:v>
      </x:c>
      <x:c r="G161" s="24" t="str">
        <x:v>Add `rate_cards(client_company_id,vendor_id,skill_id,effective_from,effective_to,bill_rate,cost_rate,currency,status)`; add assignment `bill_rate_snapshot,cost_rate_snapshot,currency,rate_card_id`.</x:v>
      </x:c>
      <x:c r="H161" s="24" t="str">
        <x:v>M09,M11</x:v>
      </x:c>
      <x:c r="I161" s="24" t="str"/>
      <x:c r="J161" s="24" t="str">
        <x:v>☐</x:v>
      </x:c>
      <x:c r="K161" s="24" t="str"/>
      <x:c r="L161" s="24"/>
    </x:row>
    <x:row r="162" ht="26.399999618530273" hidden="0" customHeight="1">
      <x:c r="A162" s="24" t="str">
        <x:v>M15</x:v>
      </x:c>
      <x:c r="B162" s="24" t="str">
        <x:v>Rate Cards, Assignment Rate Snapshots &amp; Rate History</x:v>
      </x:c>
      <x:c r="C162" s="24" t="str">
        <x:v>Phase C - Commercial lifecycle</x:v>
      </x:c>
      <x:c r="D162" s="24" t="str">
        <x:v>P1</x:v>
      </x:c>
      <x:c r="E162" s="24" t="str">
        <x:v>Implementation</x:v>
      </x:c>
      <x:c r="F162" s="24" t="str">
        <x:v>Compatibility</x:v>
      </x:c>
      <x:c r="G162" s="24" t="str">
        <x:v>Keep contractors.hourly_rate as a legacy/default rate initially; do not rewrite historical milestone_billings.</x:v>
      </x:c>
      <x:c r="H162" s="24" t="str">
        <x:v>M09,M11</x:v>
      </x:c>
      <x:c r="I162" s="24" t="str"/>
      <x:c r="J162" s="24" t="str">
        <x:v>☐</x:v>
      </x:c>
      <x:c r="K162" s="24" t="str"/>
      <x:c r="L162" s="24"/>
    </x:row>
    <x:row r="163" ht="26.399999618530273" hidden="0" customHeight="1">
      <x:c r="A163" s="24" t="str">
        <x:v>M15</x:v>
      </x:c>
      <x:c r="B163" s="24" t="str">
        <x:v>Rate Cards, Assignment Rate Snapshots &amp; Rate History</x:v>
      </x:c>
      <x:c r="C163" s="24" t="str">
        <x:v>Phase C - Commercial lifecycle</x:v>
      </x:c>
      <x:c r="D163" s="24" t="str">
        <x:v>P1</x:v>
      </x:c>
      <x:c r="E163" s="24" t="str">
        <x:v>Implementation</x:v>
      </x:c>
      <x:c r="F163" s="24" t="str">
        <x:v>Resolution</x:v>
      </x:c>
      <x:c r="G163" s="24" t="str">
        <x:v>At candidate acceptance/assignment, resolve an active rate card (or explicit approved override) and snapshot rates onto the assignment.</x:v>
      </x:c>
      <x:c r="H163" s="24" t="str">
        <x:v>M09,M11</x:v>
      </x:c>
      <x:c r="I163" s="24" t="str"/>
      <x:c r="J163" s="24" t="str">
        <x:v>☐</x:v>
      </x:c>
      <x:c r="K163" s="24" t="str"/>
      <x:c r="L163" s="24"/>
    </x:row>
    <x:row r="164" ht="26.399999618530273" hidden="0" customHeight="1">
      <x:c r="A164" s="24" t="str">
        <x:v>M15</x:v>
      </x:c>
      <x:c r="B164" s="24" t="str">
        <x:v>Rate Cards, Assignment Rate Snapshots &amp; Rate History</x:v>
      </x:c>
      <x:c r="C164" s="24" t="str">
        <x:v>Phase C - Commercial lifecycle</x:v>
      </x:c>
      <x:c r="D164" s="24" t="str">
        <x:v>P1</x:v>
      </x:c>
      <x:c r="E164" s="24" t="str">
        <x:v>Implementation</x:v>
      </x:c>
      <x:c r="F164" s="24" t="str">
        <x:v>Rules</x:v>
      </x:c>
      <x:c r="G164" s="24" t="str">
        <x:v>Rate changes affect future/new assignments or explicit future effective periods only; approved historical work always uses the assignment/billing snapshot.</x:v>
      </x:c>
      <x:c r="H164" s="24" t="str">
        <x:v>M09,M11</x:v>
      </x:c>
      <x:c r="I164" s="24" t="str"/>
      <x:c r="J164" s="24" t="str">
        <x:v>☐</x:v>
      </x:c>
      <x:c r="K164" s="24" t="str"/>
      <x:c r="L164" s="24"/>
    </x:row>
    <x:row r="165" ht="26.399999618530273" hidden="0" customHeight="1">
      <x:c r="A165" s="24" t="str">
        <x:v>M15</x:v>
      </x:c>
      <x:c r="B165" s="24" t="str">
        <x:v>Rate Cards, Assignment Rate Snapshots &amp; Rate History</x:v>
      </x:c>
      <x:c r="C165" s="24" t="str">
        <x:v>Phase C - Commercial lifecycle</x:v>
      </x:c>
      <x:c r="D165" s="24" t="str">
        <x:v>P1</x:v>
      </x:c>
      <x:c r="E165" s="24" t="str">
        <x:v>Implementation</x:v>
      </x:c>
      <x:c r="F165" s="24" t="str">
        <x:v>Backend</x:v>
      </x:c>
      <x:c r="G165" s="24" t="str">
        <x:v>Rate-card CRUD scoped to vendor+client relationship, effective-date overlap validation, audit every rate change.</x:v>
      </x:c>
      <x:c r="H165" s="24" t="str">
        <x:v>M09,M11</x:v>
      </x:c>
      <x:c r="I165" s="24" t="str"/>
      <x:c r="J165" s="24" t="str">
        <x:v>☐</x:v>
      </x:c>
      <x:c r="K165" s="24" t="str"/>
      <x:c r="L165" s="24"/>
    </x:row>
    <x:row r="166" ht="26.399999618530273" hidden="0" customHeight="1">
      <x:c r="A166" s="24" t="str">
        <x:v>M15</x:v>
      </x:c>
      <x:c r="B166" s="24" t="str">
        <x:v>Rate Cards, Assignment Rate Snapshots &amp; Rate History</x:v>
      </x:c>
      <x:c r="C166" s="24" t="str">
        <x:v>Phase C - Commercial lifecycle</x:v>
      </x:c>
      <x:c r="D166" s="24" t="str">
        <x:v>P1</x:v>
      </x:c>
      <x:c r="E166" s="24" t="str">
        <x:v>Implementation</x:v>
      </x:c>
      <x:c r="F166" s="24" t="str">
        <x:v>Frontend</x:v>
      </x:c>
      <x:c r="G166" s="24" t="str">
        <x:v>Vendor rate-card page by client/skill, effective dates, current/upcoming rates; PM can view agreed bill rate where authorized.</x:v>
      </x:c>
      <x:c r="H166" s="24" t="str">
        <x:v>M09,M11</x:v>
      </x:c>
      <x:c r="I166" s="24" t="str"/>
      <x:c r="J166" s="24" t="str">
        <x:v>☐</x:v>
      </x:c>
      <x:c r="K166" s="24" t="str"/>
      <x:c r="L166" s="24"/>
    </x:row>
    <x:row r="167" ht="26.399999618530273" hidden="0" customHeight="1">
      <x:c r="A167" s="24" t="str">
        <x:v>M15</x:v>
      </x:c>
      <x:c r="B167" s="24" t="str">
        <x:v>Rate Cards, Assignment Rate Snapshots &amp; Rate History</x:v>
      </x:c>
      <x:c r="C167" s="24" t="str">
        <x:v>Phase C - Commercial lifecycle</x:v>
      </x:c>
      <x:c r="D167" s="24" t="str">
        <x:v>P1</x:v>
      </x:c>
      <x:c r="E167" s="24" t="str">
        <x:v>Implementation</x:v>
      </x:c>
      <x:c r="F167" s="24" t="str">
        <x:v>Tests</x:v>
      </x:c>
      <x:c r="G167" s="24" t="str">
        <x:v>Effective-date boundary, overlapping rate-card rejection, historical snapshot immutability, currency consistency.</x:v>
      </x:c>
      <x:c r="H167" s="24" t="str">
        <x:v>M09,M11</x:v>
      </x:c>
      <x:c r="I167" s="24" t="str"/>
      <x:c r="J167" s="24" t="str">
        <x:v>☐</x:v>
      </x:c>
      <x:c r="K167" s="24" t="str"/>
      <x:c r="L167" s="24"/>
    </x:row>
    <x:row r="168" ht="26.399999618530273" hidden="0" customHeight="1">
      <x:c r="A168" s="24" t="str">
        <x:v>M15</x:v>
      </x:c>
      <x:c r="B168" s="24" t="str">
        <x:v>Rate Cards, Assignment Rate Snapshots &amp; Rate History</x:v>
      </x:c>
      <x:c r="C168" s="24" t="str">
        <x:v>Phase C - Commercial lifecycle</x:v>
      </x:c>
      <x:c r="D168" s="24" t="str">
        <x:v>P1</x:v>
      </x:c>
      <x:c r="E168" s="24" t="str">
        <x:v>Acceptance</x:v>
      </x:c>
      <x:c r="F168" s="24" t="str">
        <x:v>Acceptance Criteria</x:v>
      </x:c>
      <x:c r="G168" s="24" t="str">
        <x:v>Same skill can have different rates for different clients/projects.</x:v>
      </x:c>
      <x:c r="H168" s="24" t="str">
        <x:v>M09,M11</x:v>
      </x:c>
      <x:c r="I168" s="24" t="str"/>
      <x:c r="J168" s="24" t="str">
        <x:v>☐</x:v>
      </x:c>
      <x:c r="K168" s="24" t="str"/>
      <x:c r="L168" s="24"/>
    </x:row>
    <x:row r="169" ht="26.399999618530273" hidden="0" customHeight="1">
      <x:c r="A169" s="24" t="str">
        <x:v>M15</x:v>
      </x:c>
      <x:c r="B169" s="24" t="str">
        <x:v>Rate Cards, Assignment Rate Snapshots &amp; Rate History</x:v>
      </x:c>
      <x:c r="C169" s="24" t="str">
        <x:v>Phase C - Commercial lifecycle</x:v>
      </x:c>
      <x:c r="D169" s="24" t="str">
        <x:v>P1</x:v>
      </x:c>
      <x:c r="E169" s="24" t="str">
        <x:v>Acceptance</x:v>
      </x:c>
      <x:c r="F169" s="24" t="str">
        <x:v>Acceptance Criteria</x:v>
      </x:c>
      <x:c r="G169" s="24" t="str">
        <x:v>Historical billing never changes when a rate card changes.</x:v>
      </x:c>
      <x:c r="H169" s="24" t="str">
        <x:v>M09,M11</x:v>
      </x:c>
      <x:c r="I169" s="24" t="str"/>
      <x:c r="J169" s="24" t="str">
        <x:v>☐</x:v>
      </x:c>
      <x:c r="K169" s="24" t="str"/>
      <x:c r="L169" s="24"/>
    </x:row>
    <x:row r="170" ht="26.399999618530273" hidden="0" customHeight="1">
      <x:c r="A170" s="24" t="str">
        <x:v>M15</x:v>
      </x:c>
      <x:c r="B170" s="24" t="str">
        <x:v>Rate Cards, Assignment Rate Snapshots &amp; Rate History</x:v>
      </x:c>
      <x:c r="C170" s="24" t="str">
        <x:v>Phase C - Commercial lifecycle</x:v>
      </x:c>
      <x:c r="D170" s="24" t="str">
        <x:v>P1</x:v>
      </x:c>
      <x:c r="E170" s="24" t="str">
        <x:v>Acceptance</x:v>
      </x:c>
      <x:c r="F170" s="24" t="str">
        <x:v>Acceptance Criteria</x:v>
      </x:c>
      <x:c r="G170" s="24" t="str">
        <x:v>Both bill rate and cost rate are available for later margin analytics.</x:v>
      </x:c>
      <x:c r="H170" s="24" t="str">
        <x:v>M09,M11</x:v>
      </x:c>
      <x:c r="I170" s="24" t="str"/>
      <x:c r="J170" s="24" t="str">
        <x:v>☐</x:v>
      </x:c>
      <x:c r="K170" s="24" t="str"/>
      <x:c r="L170" s="24"/>
    </x:row>
    <x:row r="171" ht="26.399999618530273" hidden="0" customHeight="1">
      <x:c r="A171" s="24" t="str">
        <x:v>M16</x:v>
      </x:c>
      <x:c r="B171" s="24" t="str">
        <x:v>Milestone Management Enhancement</x:v>
      </x:c>
      <x:c r="C171" s="24" t="str">
        <x:v>Phase C - Commercial lifecycle</x:v>
      </x:c>
      <x:c r="D171" s="24" t="str">
        <x:v>P1</x:v>
      </x:c>
      <x:c r="E171" s="24" t="str">
        <x:v>Implementation</x:v>
      </x:c>
      <x:c r="F171" s="24" t="str">
        <x:v>Database</x:v>
      </x:c>
      <x:c r="G171" s="24" t="str">
        <x:v>Add milestone description, sequence/order, due_date and optional status metadata needed for display; retain threshold_hours as the trigger source.</x:v>
      </x:c>
      <x:c r="H171" s="24" t="str">
        <x:v>M06,M10,M15</x:v>
      </x:c>
      <x:c r="I171" s="24" t="str"/>
      <x:c r="J171" s="24" t="str">
        <x:v>☐</x:v>
      </x:c>
      <x:c r="K171" s="24" t="str"/>
      <x:c r="L171" s="24"/>
    </x:row>
    <x:row r="172" ht="39.599998474121094" hidden="0" customHeight="1">
      <x:c r="A172" s="24" t="str">
        <x:v>M16</x:v>
      </x:c>
      <x:c r="B172" s="24" t="str">
        <x:v>Milestone Management Enhancement</x:v>
      </x:c>
      <x:c r="C172" s="24" t="str">
        <x:v>Phase C - Commercial lifecycle</x:v>
      </x:c>
      <x:c r="D172" s="24" t="str">
        <x:v>P1</x:v>
      </x:c>
      <x:c r="E172" s="24" t="str">
        <x:v>Implementation</x:v>
      </x:c>
      <x:c r="F172" s="24" t="str">
        <x:v>Lifecycle</x:v>
      </x:c>
      <x:c r="G172" s="24" t="str">
        <x:v>Keep threshold evaluation deterministic from approved project hours. Expose PENDING/MET and derive billing/invoicing completeness from contribution records rather than duplicating financial truth.</x:v>
      </x:c>
      <x:c r="H172" s="24" t="str">
        <x:v>M06,M10,M15</x:v>
      </x:c>
      <x:c r="I172" s="24" t="str"/>
      <x:c r="J172" s="24" t="str">
        <x:v>☐</x:v>
      </x:c>
      <x:c r="K172" s="24" t="str"/>
      <x:c r="L172" s="24"/>
    </x:row>
    <x:row r="173" ht="39.599998474121094" hidden="0" customHeight="1">
      <x:c r="A173" s="24" t="str">
        <x:v>M16</x:v>
      </x:c>
      <x:c r="B173" s="24" t="str">
        <x:v>Milestone Management Enhancement</x:v>
      </x:c>
      <x:c r="C173" s="24" t="str">
        <x:v>Phase C - Commercial lifecycle</x:v>
      </x:c>
      <x:c r="D173" s="24" t="str">
        <x:v>P1</x:v>
      </x:c>
      <x:c r="E173" s="24" t="str">
        <x:v>Implementation</x:v>
      </x:c>
      <x:c r="F173" s="24" t="str">
        <x:v>Editing</x:v>
      </x:c>
      <x:c r="G173" s="24" t="str">
        <x:v>Allow metadata edits while PENDING; threshold can only change if it does not invalidate already met/approved history. MET milestones become immutable except descriptive notes.</x:v>
      </x:c>
      <x:c r="H173" s="24" t="str">
        <x:v>M06,M10,M15</x:v>
      </x:c>
      <x:c r="I173" s="24" t="str"/>
      <x:c r="J173" s="24" t="str">
        <x:v>☐</x:v>
      </x:c>
      <x:c r="K173" s="24" t="str"/>
      <x:c r="L173" s="24"/>
    </x:row>
    <x:row r="174" ht="26.399999618530273" hidden="0" customHeight="1">
      <x:c r="A174" s="24" t="str">
        <x:v>M16</x:v>
      </x:c>
      <x:c r="B174" s="24" t="str">
        <x:v>Milestone Management Enhancement</x:v>
      </x:c>
      <x:c r="C174" s="24" t="str">
        <x:v>Phase C - Commercial lifecycle</x:v>
      </x:c>
      <x:c r="D174" s="24" t="str">
        <x:v>P1</x:v>
      </x:c>
      <x:c r="E174" s="24" t="str">
        <x:v>Implementation</x:v>
      </x:c>
      <x:c r="F174" s="24" t="str">
        <x:v>Frontend</x:v>
      </x:c>
      <x:c r="G174" s="24" t="str">
        <x:v>Project milestone timeline with approved-hours progress, due date, contribution breakdown and billing eligibility state.</x:v>
      </x:c>
      <x:c r="H174" s="24" t="str">
        <x:v>M06,M10,M15</x:v>
      </x:c>
      <x:c r="I174" s="24" t="str"/>
      <x:c r="J174" s="24" t="str">
        <x:v>☐</x:v>
      </x:c>
      <x:c r="K174" s="24" t="str"/>
      <x:c r="L174" s="24"/>
    </x:row>
    <x:row r="175" ht="26.399999618530273" hidden="0" customHeight="1">
      <x:c r="A175" s="24" t="str">
        <x:v>M16</x:v>
      </x:c>
      <x:c r="B175" s="24" t="str">
        <x:v>Milestone Management Enhancement</x:v>
      </x:c>
      <x:c r="C175" s="24" t="str">
        <x:v>Phase C - Commercial lifecycle</x:v>
      </x:c>
      <x:c r="D175" s="24" t="str">
        <x:v>P1</x:v>
      </x:c>
      <x:c r="E175" s="24" t="str">
        <x:v>Implementation</x:v>
      </x:c>
      <x:c r="F175" s="24" t="str">
        <x:v>Billing</x:v>
      </x:c>
      <x:c r="G175" s="24" t="str">
        <x:v>Continue creating per-contractor milestone_billings exactly once; use assignment rate snapshots from M15 for new billings.</x:v>
      </x:c>
      <x:c r="H175" s="24" t="str">
        <x:v>M06,M10,M15</x:v>
      </x:c>
      <x:c r="I175" s="24" t="str"/>
      <x:c r="J175" s="24" t="str">
        <x:v>☐</x:v>
      </x:c>
      <x:c r="K175" s="24" t="str"/>
      <x:c r="L175" s="24"/>
    </x:row>
    <x:row r="176" ht="26.399999618530273" hidden="0" customHeight="1">
      <x:c r="A176" s="24" t="str">
        <x:v>M16</x:v>
      </x:c>
      <x:c r="B176" s="24" t="str">
        <x:v>Milestone Management Enhancement</x:v>
      </x:c>
      <x:c r="C176" s="24" t="str">
        <x:v>Phase C - Commercial lifecycle</x:v>
      </x:c>
      <x:c r="D176" s="24" t="str">
        <x:v>P1</x:v>
      </x:c>
      <x:c r="E176" s="24" t="str">
        <x:v>Implementation</x:v>
      </x:c>
      <x:c r="F176" s="24" t="str">
        <x:v>Tests</x:v>
      </x:c>
      <x:c r="G176" s="24" t="str">
        <x:v>Threshold edits, already-met immutability, multiple contractors, repeated evaluation idempotency, late-created milestone already below approved hours.</x:v>
      </x:c>
      <x:c r="H176" s="24" t="str">
        <x:v>M06,M10,M15</x:v>
      </x:c>
      <x:c r="I176" s="24" t="str"/>
      <x:c r="J176" s="24" t="str">
        <x:v>☐</x:v>
      </x:c>
      <x:c r="K176" s="24" t="str"/>
      <x:c r="L176" s="24"/>
    </x:row>
    <x:row r="177" ht="26.399999618530273" hidden="0" customHeight="1">
      <x:c r="A177" s="24" t="str">
        <x:v>M16</x:v>
      </x:c>
      <x:c r="B177" s="24" t="str">
        <x:v>Milestone Management Enhancement</x:v>
      </x:c>
      <x:c r="C177" s="24" t="str">
        <x:v>Phase C - Commercial lifecycle</x:v>
      </x:c>
      <x:c r="D177" s="24" t="str">
        <x:v>P1</x:v>
      </x:c>
      <x:c r="E177" s="24" t="str">
        <x:v>Acceptance</x:v>
      </x:c>
      <x:c r="F177" s="24" t="str">
        <x:v>Acceptance Criteria</x:v>
      </x:c>
      <x:c r="G177" s="24" t="str">
        <x:v>Milestones are understandable business checkpoints without weakening the current idempotent billing ledger.</x:v>
      </x:c>
      <x:c r="H177" s="24" t="str">
        <x:v>M06,M10,M15</x:v>
      </x:c>
      <x:c r="I177" s="24" t="str"/>
      <x:c r="J177" s="24" t="str">
        <x:v>☐</x:v>
      </x:c>
      <x:c r="K177" s="24" t="str"/>
      <x:c r="L177" s="24"/>
    </x:row>
    <x:row r="178" ht="15" hidden="0" customHeight="1">
      <x:c r="A178" s="24" t="str">
        <x:v>M16</x:v>
      </x:c>
      <x:c r="B178" s="24" t="str">
        <x:v>Milestone Management Enhancement</x:v>
      </x:c>
      <x:c r="C178" s="24" t="str">
        <x:v>Phase C - Commercial lifecycle</x:v>
      </x:c>
      <x:c r="D178" s="24" t="str">
        <x:v>P1</x:v>
      </x:c>
      <x:c r="E178" s="24" t="str">
        <x:v>Acceptance</x:v>
      </x:c>
      <x:c r="F178" s="24" t="str">
        <x:v>Acceptance Criteria</x:v>
      </x:c>
      <x:c r="G178" s="24" t="str">
        <x:v>Changing contractor/rate data later cannot alter a met milestone contribution.</x:v>
      </x:c>
      <x:c r="H178" s="24" t="str">
        <x:v>M06,M10,M15</x:v>
      </x:c>
      <x:c r="I178" s="24" t="str"/>
      <x:c r="J178" s="24" t="str">
        <x:v>☐</x:v>
      </x:c>
      <x:c r="K178" s="24" t="str"/>
      <x:c r="L178" s="24"/>
    </x:row>
    <x:row r="179" ht="26.399999618530273" hidden="0" customHeight="1">
      <x:c r="A179" s="24" t="str">
        <x:v>M17</x:v>
      </x:c>
      <x:c r="B179" s="24" t="str">
        <x:v>Invoice Lifecycle Redesign: Billing Queue -&gt; Vendor Draft -&gt; Client Approval</x:v>
      </x:c>
      <x:c r="C179" s="24" t="str">
        <x:v>Phase C - Commercial lifecycle</x:v>
      </x:c>
      <x:c r="D179" s="24" t="str">
        <x:v>P1</x:v>
      </x:c>
      <x:c r="E179" s="24" t="str">
        <x:v>Implementation</x:v>
      </x:c>
      <x:c r="F179" s="24" t="str">
        <x:v>Billing queue</x:v>
      </x:c>
      <x:c r="G179" s="24" t="str">
        <x:v>Stop auto-generating invoices from milestoneService. Milestone billings become an “eligible to invoice” queue.</x:v>
      </x:c>
      <x:c r="H179" s="24" t="str">
        <x:v>M09,M15,M16,M01</x:v>
      </x:c>
      <x:c r="I179" s="24" t="str"/>
      <x:c r="J179" s="24" t="str">
        <x:v>☐</x:v>
      </x:c>
      <x:c r="K179" s="24" t="str"/>
      <x:c r="L179" s="24"/>
    </x:row>
    <x:row r="180" ht="26.399999618530273" hidden="0" customHeight="1">
      <x:c r="A180" s="24" t="str">
        <x:v>M17</x:v>
      </x:c>
      <x:c r="B180" s="24" t="str">
        <x:v>Invoice Lifecycle Redesign: Billing Queue -&gt; Vendor Draft -&gt; Client Approval</x:v>
      </x:c>
      <x:c r="C180" s="24" t="str">
        <x:v>Phase C - Commercial lifecycle</x:v>
      </x:c>
      <x:c r="D180" s="24" t="str">
        <x:v>P1</x:v>
      </x:c>
      <x:c r="E180" s="24" t="str">
        <x:v>Implementation</x:v>
      </x:c>
      <x:c r="F180" s="24" t="str">
        <x:v>Database</x:v>
      </x:c>
      <x:c r="G180" s="24" t="str">
        <x:v>Normalize invoice header + invoice items. Each item references one milestone_billing_id with UNIQUE constraint so a billing contribution can never be invoiced twice.</x:v>
      </x:c>
      <x:c r="H180" s="24" t="str">
        <x:v>M09,M15,M16,M01</x:v>
      </x:c>
      <x:c r="I180" s="24" t="str"/>
      <x:c r="J180" s="24" t="str">
        <x:v>☐</x:v>
      </x:c>
      <x:c r="K180" s="24" t="str"/>
      <x:c r="L180" s="24"/>
    </x:row>
    <x:row r="181" ht="26.399999618530273" hidden="0" customHeight="1">
      <x:c r="A181" s="24" t="str">
        <x:v>M17</x:v>
      </x:c>
      <x:c r="B181" s="24" t="str">
        <x:v>Invoice Lifecycle Redesign: Billing Queue -&gt; Vendor Draft -&gt; Client Approval</x:v>
      </x:c>
      <x:c r="C181" s="24" t="str">
        <x:v>Phase C - Commercial lifecycle</x:v>
      </x:c>
      <x:c r="D181" s="24" t="str">
        <x:v>P1</x:v>
      </x:c>
      <x:c r="E181" s="24" t="str">
        <x:v>Implementation</x:v>
      </x:c>
      <x:c r="F181" s="24" t="str">
        <x:v>Grouping</x:v>
      </x:c>
      <x:c r="G181" s="24" t="str">
        <x:v>A draft invoice may group only compatible eligible billings (same vendor, client company, project, currency; define milestone/billing-period rule explicitly).</x:v>
      </x:c>
      <x:c r="H181" s="24" t="str">
        <x:v>M09,M15,M16,M01</x:v>
      </x:c>
      <x:c r="I181" s="24" t="str"/>
      <x:c r="J181" s="24" t="str">
        <x:v>☐</x:v>
      </x:c>
      <x:c r="K181" s="24" t="str"/>
      <x:c r="L181" s="24"/>
    </x:row>
    <x:row r="182" ht="39.599998474121094" hidden="0" customHeight="1">
      <x:c r="A182" s="24" t="str">
        <x:v>M17</x:v>
      </x:c>
      <x:c r="B182" s="24" t="str">
        <x:v>Invoice Lifecycle Redesign: Billing Queue -&gt; Vendor Draft -&gt; Client Approval</x:v>
      </x:c>
      <x:c r="C182" s="24" t="str">
        <x:v>Phase C - Commercial lifecycle</x:v>
      </x:c>
      <x:c r="D182" s="24" t="str">
        <x:v>P1</x:v>
      </x:c>
      <x:c r="E182" s="24" t="str">
        <x:v>Implementation</x:v>
      </x:c>
      <x:c r="F182" s="24" t="str">
        <x:v>Lifecycle</x:v>
      </x:c>
      <x:c r="G182" s="24" t="str">
        <x:v>Use `DRAFT -&gt; SUBMITTED -&gt; APPROVED | REJECTED | CANCELLED`; keep payment state separate for M19. Rejected invoice can be revised/resubmitted under controlled version/history rules.</x:v>
      </x:c>
      <x:c r="H182" s="24" t="str">
        <x:v>M09,M15,M16,M01</x:v>
      </x:c>
      <x:c r="I182" s="24" t="str"/>
      <x:c r="J182" s="24" t="str">
        <x:v>☐</x:v>
      </x:c>
      <x:c r="K182" s="24" t="str"/>
      <x:c r="L182" s="24"/>
    </x:row>
    <x:row r="183" ht="39.599998474121094" hidden="0" customHeight="1">
      <x:c r="A183" s="24" t="str">
        <x:v>M17</x:v>
      </x:c>
      <x:c r="B183" s="24" t="str">
        <x:v>Invoice Lifecycle Redesign: Billing Queue -&gt; Vendor Draft -&gt; Client Approval</x:v>
      </x:c>
      <x:c r="C183" s="24" t="str">
        <x:v>Phase C - Commercial lifecycle</x:v>
      </x:c>
      <x:c r="D183" s="24" t="str">
        <x:v>P1</x:v>
      </x:c>
      <x:c r="E183" s="24" t="str">
        <x:v>Implementation</x:v>
      </x:c>
      <x:c r="F183" s="24" t="str">
        <x:v>Vendor API</x:v>
      </x:c>
      <x:c r="G183" s="24" t="str">
        <x:v>List un-invoiced billings, create draft, add/remove eligible items while DRAFT, submit invoice. Financial values come from immutable billings/rate snapshots, never client-provided totals.</x:v>
      </x:c>
      <x:c r="H183" s="24" t="str">
        <x:v>M09,M15,M16,M01</x:v>
      </x:c>
      <x:c r="I183" s="24" t="str"/>
      <x:c r="J183" s="24" t="str">
        <x:v>☐</x:v>
      </x:c>
      <x:c r="K183" s="24" t="str"/>
      <x:c r="L183" s="24"/>
    </x:row>
    <x:row r="184" ht="26.399999618530273" hidden="0" customHeight="1">
      <x:c r="A184" s="24" t="str">
        <x:v>M17</x:v>
      </x:c>
      <x:c r="B184" s="24" t="str">
        <x:v>Invoice Lifecycle Redesign: Billing Queue -&gt; Vendor Draft -&gt; Client Approval</x:v>
      </x:c>
      <x:c r="C184" s="24" t="str">
        <x:v>Phase C - Commercial lifecycle</x:v>
      </x:c>
      <x:c r="D184" s="24" t="str">
        <x:v>P1</x:v>
      </x:c>
      <x:c r="E184" s="24" t="str">
        <x:v>Implementation</x:v>
      </x:c>
      <x:c r="F184" s="24" t="str">
        <x:v>PM API</x:v>
      </x:c>
      <x:c r="G184" s="24" t="str">
        <x:v>List SUBMITTED invoices only for owned client projects; approve or reject with mandatory reason, race-safe row lock + conditional update.</x:v>
      </x:c>
      <x:c r="H184" s="24" t="str">
        <x:v>M09,M15,M16,M01</x:v>
      </x:c>
      <x:c r="I184" s="24" t="str"/>
      <x:c r="J184" s="24" t="str">
        <x:v>☐</x:v>
      </x:c>
      <x:c r="K184" s="24" t="str"/>
      <x:c r="L184" s="24"/>
    </x:row>
    <x:row r="185" ht="39.599998474121094" hidden="0" customHeight="1">
      <x:c r="A185" s="24" t="str">
        <x:v>M17</x:v>
      </x:c>
      <x:c r="B185" s="24" t="str">
        <x:v>Invoice Lifecycle Redesign: Billing Queue -&gt; Vendor Draft -&gt; Client Approval</x:v>
      </x:c>
      <x:c r="C185" s="24" t="str">
        <x:v>Phase C - Commercial lifecycle</x:v>
      </x:c>
      <x:c r="D185" s="24" t="str">
        <x:v>P1</x:v>
      </x:c>
      <x:c r="E185" s="24" t="str">
        <x:v>Implementation</x:v>
      </x:c>
      <x:c r="F185" s="24" t="str">
        <x:v>Migration</x:v>
      </x:c>
      <x:c r="G185" s="24" t="str">
        <x:v>Document mapping of current PENDING_REVIEW/APPROVED/AUTO_APPROVED/REJECTED demo rows; preserve old audit fields or migrate them into audit history. Do not pretend old vendor approval was client approval.</x:v>
      </x:c>
      <x:c r="H185" s="24" t="str">
        <x:v>M09,M15,M16,M01</x:v>
      </x:c>
      <x:c r="I185" s="24" t="str"/>
      <x:c r="J185" s="24" t="str">
        <x:v>☐</x:v>
      </x:c>
      <x:c r="K185" s="24" t="str"/>
      <x:c r="L185" s="24"/>
    </x:row>
    <x:row r="186" ht="26.399999618530273" hidden="0" customHeight="1">
      <x:c r="A186" s="24" t="str">
        <x:v>M17</x:v>
      </x:c>
      <x:c r="B186" s="24" t="str">
        <x:v>Invoice Lifecycle Redesign: Billing Queue -&gt; Vendor Draft -&gt; Client Approval</x:v>
      </x:c>
      <x:c r="C186" s="24" t="str">
        <x:v>Phase C - Commercial lifecycle</x:v>
      </x:c>
      <x:c r="D186" s="24" t="str">
        <x:v>P1</x:v>
      </x:c>
      <x:c r="E186" s="24" t="str">
        <x:v>Implementation</x:v>
      </x:c>
      <x:c r="F186" s="24" t="str">
        <x:v>Frontend</x:v>
      </x:c>
      <x:c r="G186" s="24" t="str">
        <x:v>Vendor billing queue/draft builder/submission; PM invoice review queue; clear lifecycle badges.</x:v>
      </x:c>
      <x:c r="H186" s="24" t="str">
        <x:v>M09,M15,M16,M01</x:v>
      </x:c>
      <x:c r="I186" s="24" t="str"/>
      <x:c r="J186" s="24" t="str">
        <x:v>☐</x:v>
      </x:c>
      <x:c r="K186" s="24" t="str"/>
      <x:c r="L186" s="24"/>
    </x:row>
    <x:row r="187" ht="26.399999618530273" hidden="0" customHeight="1">
      <x:c r="A187" s="24" t="str">
        <x:v>M17</x:v>
      </x:c>
      <x:c r="B187" s="24" t="str">
        <x:v>Invoice Lifecycle Redesign: Billing Queue -&gt; Vendor Draft -&gt; Client Approval</x:v>
      </x:c>
      <x:c r="C187" s="24" t="str">
        <x:v>Phase C - Commercial lifecycle</x:v>
      </x:c>
      <x:c r="D187" s="24" t="str">
        <x:v>P1</x:v>
      </x:c>
      <x:c r="E187" s="24" t="str">
        <x:v>Implementation</x:v>
      </x:c>
      <x:c r="F187" s="24" t="str">
        <x:v>Notifications/Audit</x:v>
      </x:c>
      <x:c r="G187" s="24" t="str">
        <x:v>Hook submission/review events into M14 and M04.</x:v>
      </x:c>
      <x:c r="H187" s="24" t="str">
        <x:v>M09,M15,M16,M01</x:v>
      </x:c>
      <x:c r="I187" s="24" t="str"/>
      <x:c r="J187" s="24" t="str">
        <x:v>☐</x:v>
      </x:c>
      <x:c r="K187" s="24" t="str"/>
      <x:c r="L187" s="24"/>
    </x:row>
    <x:row r="188" ht="26.399999618530273" hidden="0" customHeight="1">
      <x:c r="A188" s="24" t="str">
        <x:v>M17</x:v>
      </x:c>
      <x:c r="B188" s="24" t="str">
        <x:v>Invoice Lifecycle Redesign: Billing Queue -&gt; Vendor Draft -&gt; Client Approval</x:v>
      </x:c>
      <x:c r="C188" s="24" t="str">
        <x:v>Phase C - Commercial lifecycle</x:v>
      </x:c>
      <x:c r="D188" s="24" t="str">
        <x:v>P1</x:v>
      </x:c>
      <x:c r="E188" s="24" t="str">
        <x:v>Implementation</x:v>
      </x:c>
      <x:c r="F188" s="24" t="str">
        <x:v>Tests</x:v>
      </x:c>
      <x:c r="G188" s="24" t="str">
        <x:v>Double item claim, incompatible grouping, two client reviewers race, cross-tenant project access, reject/revise/resubmit, invoice totals equal item snapshots.</x:v>
      </x:c>
      <x:c r="H188" s="24" t="str">
        <x:v>M09,M15,M16,M01</x:v>
      </x:c>
      <x:c r="I188" s="24" t="str"/>
      <x:c r="J188" s="24" t="str">
        <x:v>☐</x:v>
      </x:c>
      <x:c r="K188" s="24" t="str"/>
      <x:c r="L188" s="24"/>
    </x:row>
    <x:row r="189" ht="26.399999618530273" hidden="0" customHeight="1">
      <x:c r="A189" s="24" t="str">
        <x:v>M17</x:v>
      </x:c>
      <x:c r="B189" s="24" t="str">
        <x:v>Invoice Lifecycle Redesign: Billing Queue -&gt; Vendor Draft -&gt; Client Approval</x:v>
      </x:c>
      <x:c r="C189" s="24" t="str">
        <x:v>Phase C - Commercial lifecycle</x:v>
      </x:c>
      <x:c r="D189" s="24" t="str">
        <x:v>P1</x:v>
      </x:c>
      <x:c r="E189" s="24" t="str">
        <x:v>Acceptance</x:v>
      </x:c>
      <x:c r="F189" s="24" t="str">
        <x:v>Acceptance Criteria</x:v>
      </x:c>
      <x:c r="G189" s="24" t="str">
        <x:v>Milestone billing can exist without an invoice.</x:v>
      </x:c>
      <x:c r="H189" s="24" t="str">
        <x:v>M09,M15,M16,M01</x:v>
      </x:c>
      <x:c r="I189" s="24" t="str"/>
      <x:c r="J189" s="24" t="str">
        <x:v>☐</x:v>
      </x:c>
      <x:c r="K189" s="24" t="str"/>
      <x:c r="L189" s="24"/>
    </x:row>
    <x:row r="190" ht="26.399999618530273" hidden="0" customHeight="1">
      <x:c r="A190" s="24" t="str">
        <x:v>M17</x:v>
      </x:c>
      <x:c r="B190" s="24" t="str">
        <x:v>Invoice Lifecycle Redesign: Billing Queue -&gt; Vendor Draft -&gt; Client Approval</x:v>
      </x:c>
      <x:c r="C190" s="24" t="str">
        <x:v>Phase C - Commercial lifecycle</x:v>
      </x:c>
      <x:c r="D190" s="24" t="str">
        <x:v>P1</x:v>
      </x:c>
      <x:c r="E190" s="24" t="str">
        <x:v>Acceptance</x:v>
      </x:c>
      <x:c r="F190" s="24" t="str">
        <x:v>Acceptance Criteria</x:v>
      </x:c>
      <x:c r="G190" s="24" t="str">
        <x:v>Vendor explicitly creates/submits invoice.</x:v>
      </x:c>
      <x:c r="H190" s="24" t="str">
        <x:v>M09,M15,M16,M01</x:v>
      </x:c>
      <x:c r="I190" s="24" t="str"/>
      <x:c r="J190" s="24" t="str">
        <x:v>☐</x:v>
      </x:c>
      <x:c r="K190" s="24" t="str"/>
      <x:c r="L190" s="24"/>
    </x:row>
    <x:row r="191" ht="26.399999618530273" hidden="0" customHeight="1">
      <x:c r="A191" s="24" t="str">
        <x:v>M17</x:v>
      </x:c>
      <x:c r="B191" s="24" t="str">
        <x:v>Invoice Lifecycle Redesign: Billing Queue -&gt; Vendor Draft -&gt; Client Approval</x:v>
      </x:c>
      <x:c r="C191" s="24" t="str">
        <x:v>Phase C - Commercial lifecycle</x:v>
      </x:c>
      <x:c r="D191" s="24" t="str">
        <x:v>P1</x:v>
      </x:c>
      <x:c r="E191" s="24" t="str">
        <x:v>Acceptance</x:v>
      </x:c>
      <x:c r="F191" s="24" t="str">
        <x:v>Acceptance Criteria</x:v>
      </x:c>
      <x:c r="G191" s="24" t="str">
        <x:v>Only client-side PM can approve/reject submitted invoice.</x:v>
      </x:c>
      <x:c r="H191" s="24" t="str">
        <x:v>M09,M15,M16,M01</x:v>
      </x:c>
      <x:c r="I191" s="24" t="str"/>
      <x:c r="J191" s="24" t="str">
        <x:v>☐</x:v>
      </x:c>
      <x:c r="K191" s="24" t="str"/>
      <x:c r="L191" s="24"/>
    </x:row>
    <x:row r="192" ht="26.399999618530273" hidden="0" customHeight="1">
      <x:c r="A192" s="24" t="str">
        <x:v>M17</x:v>
      </x:c>
      <x:c r="B192" s="24" t="str">
        <x:v>Invoice Lifecycle Redesign: Billing Queue -&gt; Vendor Draft -&gt; Client Approval</x:v>
      </x:c>
      <x:c r="C192" s="24" t="str">
        <x:v>Phase C - Commercial lifecycle</x:v>
      </x:c>
      <x:c r="D192" s="24" t="str">
        <x:v>P1</x:v>
      </x:c>
      <x:c r="E192" s="24" t="str">
        <x:v>Acceptance</x:v>
      </x:c>
      <x:c r="F192" s="24" t="str">
        <x:v>Acceptance Criteria</x:v>
      </x:c>
      <x:c r="G192" s="24" t="str">
        <x:v>One milestone billing contribution can appear on at most one invoice item.</x:v>
      </x:c>
      <x:c r="H192" s="24" t="str">
        <x:v>M09,M15,M16,M01</x:v>
      </x:c>
      <x:c r="I192" s="24" t="str"/>
      <x:c r="J192" s="24" t="str">
        <x:v>☐</x:v>
      </x:c>
      <x:c r="K192" s="24" t="str"/>
      <x:c r="L192" s="24"/>
    </x:row>
    <x:row r="193" ht="26.399999618530273" hidden="0" customHeight="1">
      <x:c r="A193" s="24" t="str">
        <x:v>M18</x:v>
      </x:c>
      <x:c r="B193" s="24" t="str">
        <x:v>Invoice Numbers, Line Items, Tax &amp; PDF Document</x:v>
      </x:c>
      <x:c r="C193" s="24" t="str">
        <x:v>Phase C - Commercial lifecycle</x:v>
      </x:c>
      <x:c r="D193" s="24" t="str">
        <x:v>P1</x:v>
      </x:c>
      <x:c r="E193" s="24" t="str">
        <x:v>Implementation</x:v>
      </x:c>
      <x:c r="F193" s="24" t="str">
        <x:v>Numbering</x:v>
      </x:c>
      <x:c r="G193" s="24" t="str">
        <x:v>Add immutable invoice_number generated from a vendor/year sequence under row lock, e.g. `INV-2026-000123`.</x:v>
      </x:c>
      <x:c r="H193" s="24" t="str">
        <x:v>M17</x:v>
      </x:c>
      <x:c r="I193" s="24" t="str"/>
      <x:c r="J193" s="24" t="str">
        <x:v>☐</x:v>
      </x:c>
      <x:c r="K193" s="24" t="str"/>
      <x:c r="L193" s="24"/>
    </x:row>
    <x:row r="194" ht="26.399999618530273" hidden="0" customHeight="1">
      <x:c r="A194" s="24" t="str">
        <x:v>M18</x:v>
      </x:c>
      <x:c r="B194" s="24" t="str">
        <x:v>Invoice Numbers, Line Items, Tax &amp; PDF Document</x:v>
      </x:c>
      <x:c r="C194" s="24" t="str">
        <x:v>Phase C - Commercial lifecycle</x:v>
      </x:c>
      <x:c r="D194" s="24" t="str">
        <x:v>P1</x:v>
      </x:c>
      <x:c r="E194" s="24" t="str">
        <x:v>Implementation</x:v>
      </x:c>
      <x:c r="F194" s="24" t="str">
        <x:v>Line items</x:v>
      </x:c>
      <x:c r="G194" s="24" t="str">
        <x:v>Each item shows contractor/role or skill, milestone/billing period, approved hours, bill rate and amount. Values come from milestone billing + assignment snapshot.</x:v>
      </x:c>
      <x:c r="H194" s="24" t="str">
        <x:v>M17</x:v>
      </x:c>
      <x:c r="I194" s="24" t="str"/>
      <x:c r="J194" s="24" t="str">
        <x:v>☐</x:v>
      </x:c>
      <x:c r="K194" s="24" t="str"/>
      <x:c r="L194" s="24"/>
    </x:row>
    <x:row r="195" ht="26.399999618530273" hidden="0" customHeight="1">
      <x:c r="A195" s="24" t="str">
        <x:v>M18</x:v>
      </x:c>
      <x:c r="B195" s="24" t="str">
        <x:v>Invoice Numbers, Line Items, Tax &amp; PDF Document</x:v>
      </x:c>
      <x:c r="C195" s="24" t="str">
        <x:v>Phase C - Commercial lifecycle</x:v>
      </x:c>
      <x:c r="D195" s="24" t="str">
        <x:v>P1</x:v>
      </x:c>
      <x:c r="E195" s="24" t="str">
        <x:v>Implementation</x:v>
      </x:c>
      <x:c r="F195" s="24" t="str">
        <x:v>Tax</x:v>
      </x:c>
      <x:c r="G195" s="24" t="str">
        <x:v>Add explicit tax rate/amount and optional adjustment lines; subtotal + tax + adjustments = total. Currency fixed per invoice.</x:v>
      </x:c>
      <x:c r="H195" s="24" t="str">
        <x:v>M17</x:v>
      </x:c>
      <x:c r="I195" s="24" t="str"/>
      <x:c r="J195" s="24" t="str">
        <x:v>☐</x:v>
      </x:c>
      <x:c r="K195" s="24" t="str"/>
      <x:c r="L195" s="24"/>
    </x:row>
    <x:row r="196" ht="26.399999618530273" hidden="0" customHeight="1">
      <x:c r="A196" s="24" t="str">
        <x:v>M18</x:v>
      </x:c>
      <x:c r="B196" s="24" t="str">
        <x:v>Invoice Numbers, Line Items, Tax &amp; PDF Document</x:v>
      </x:c>
      <x:c r="C196" s="24" t="str">
        <x:v>Phase C - Commercial lifecycle</x:v>
      </x:c>
      <x:c r="D196" s="24" t="str">
        <x:v>P1</x:v>
      </x:c>
      <x:c r="E196" s="24" t="str">
        <x:v>Implementation</x:v>
      </x:c>
      <x:c r="F196" s="24" t="str">
        <x:v>Dates</x:v>
      </x:c>
      <x:c r="G196" s="24" t="str">
        <x:v>Add invoice_date, submitted_at and due_date/payment_terms fields.</x:v>
      </x:c>
      <x:c r="H196" s="24" t="str">
        <x:v>M17</x:v>
      </x:c>
      <x:c r="I196" s="24" t="str"/>
      <x:c r="J196" s="24" t="str">
        <x:v>☐</x:v>
      </x:c>
      <x:c r="K196" s="24" t="str"/>
      <x:c r="L196" s="24"/>
    </x:row>
    <x:row r="197" ht="39.599998474121094" hidden="0" customHeight="1">
      <x:c r="A197" s="24" t="str">
        <x:v>M18</x:v>
      </x:c>
      <x:c r="B197" s="24" t="str">
        <x:v>Invoice Numbers, Line Items, Tax &amp; PDF Document</x:v>
      </x:c>
      <x:c r="C197" s="24" t="str">
        <x:v>Phase C - Commercial lifecycle</x:v>
      </x:c>
      <x:c r="D197" s="24" t="str">
        <x:v>P1</x:v>
      </x:c>
      <x:c r="E197" s="24" t="str">
        <x:v>Implementation</x:v>
      </x:c>
      <x:c r="F197" s="24" t="str">
        <x:v>PDF</x:v>
      </x:c>
      <x:c r="G197" s="24" t="str">
        <x:v>Generate a server-side PDF from stored invoice data, store it via the same storage abstraction, and provide authorized download. Regenerate only while DRAFT; freeze the submitted/approved document version.</x:v>
      </x:c>
      <x:c r="H197" s="24" t="str">
        <x:v>M17</x:v>
      </x:c>
      <x:c r="I197" s="24" t="str"/>
      <x:c r="J197" s="24" t="str">
        <x:v>☐</x:v>
      </x:c>
      <x:c r="K197" s="24" t="str"/>
      <x:c r="L197" s="24"/>
    </x:row>
    <x:row r="198" ht="26.399999618530273" hidden="0" customHeight="1">
      <x:c r="A198" s="24" t="str">
        <x:v>M18</x:v>
      </x:c>
      <x:c r="B198" s="24" t="str">
        <x:v>Invoice Numbers, Line Items, Tax &amp; PDF Document</x:v>
      </x:c>
      <x:c r="C198" s="24" t="str">
        <x:v>Phase C - Commercial lifecycle</x:v>
      </x:c>
      <x:c r="D198" s="24" t="str">
        <x:v>P1</x:v>
      </x:c>
      <x:c r="E198" s="24" t="str">
        <x:v>Implementation</x:v>
      </x:c>
      <x:c r="F198" s="24" t="str">
        <x:v>Frontend</x:v>
      </x:c>
      <x:c r="G198" s="24" t="str">
        <x:v>Invoice detail/preview, PDF download, print-friendly view.</x:v>
      </x:c>
      <x:c r="H198" s="24" t="str">
        <x:v>M17</x:v>
      </x:c>
      <x:c r="I198" s="24" t="str"/>
      <x:c r="J198" s="24" t="str">
        <x:v>☐</x:v>
      </x:c>
      <x:c r="K198" s="24" t="str"/>
      <x:c r="L198" s="24"/>
    </x:row>
    <x:row r="199" ht="26.399999618530273" hidden="0" customHeight="1">
      <x:c r="A199" s="24" t="str">
        <x:v>M18</x:v>
      </x:c>
      <x:c r="B199" s="24" t="str">
        <x:v>Invoice Numbers, Line Items, Tax &amp; PDF Document</x:v>
      </x:c>
      <x:c r="C199" s="24" t="str">
        <x:v>Phase C - Commercial lifecycle</x:v>
      </x:c>
      <x:c r="D199" s="24" t="str">
        <x:v>P1</x:v>
      </x:c>
      <x:c r="E199" s="24" t="str">
        <x:v>Implementation</x:v>
      </x:c>
      <x:c r="F199" s="24" t="str">
        <x:v>Tests</x:v>
      </x:c>
      <x:c r="G199" s="24" t="str">
        <x:v>Sequential number race, exact decimal math, item totals, tax rounding, immutable document after submission, unauthorized download.</x:v>
      </x:c>
      <x:c r="H199" s="24" t="str">
        <x:v>M17</x:v>
      </x:c>
      <x:c r="I199" s="24" t="str"/>
      <x:c r="J199" s="24" t="str">
        <x:v>☐</x:v>
      </x:c>
      <x:c r="K199" s="24" t="str"/>
      <x:c r="L199" s="24"/>
    </x:row>
    <x:row r="200" ht="26.399999618530273" hidden="0" customHeight="1">
      <x:c r="A200" s="24" t="str">
        <x:v>M18</x:v>
      </x:c>
      <x:c r="B200" s="24" t="str">
        <x:v>Invoice Numbers, Line Items, Tax &amp; PDF Document</x:v>
      </x:c>
      <x:c r="C200" s="24" t="str">
        <x:v>Phase C - Commercial lifecycle</x:v>
      </x:c>
      <x:c r="D200" s="24" t="str">
        <x:v>P1</x:v>
      </x:c>
      <x:c r="E200" s="24" t="str">
        <x:v>Acceptance</x:v>
      </x:c>
      <x:c r="F200" s="24" t="str">
        <x:v>Acceptance Criteria</x:v>
      </x:c>
      <x:c r="G200" s="24" t="str">
        <x:v>Every submitted invoice has a human-readable immutable number.</x:v>
      </x:c>
      <x:c r="H200" s="24" t="str">
        <x:v>M17</x:v>
      </x:c>
      <x:c r="I200" s="24" t="str"/>
      <x:c r="J200" s="24" t="str">
        <x:v>☐</x:v>
      </x:c>
      <x:c r="K200" s="24" t="str"/>
      <x:c r="L200" s="24"/>
    </x:row>
    <x:row r="201" ht="26.399999618530273" hidden="0" customHeight="1">
      <x:c r="A201" s="24" t="str">
        <x:v>M18</x:v>
      </x:c>
      <x:c r="B201" s="24" t="str">
        <x:v>Invoice Numbers, Line Items, Tax &amp; PDF Document</x:v>
      </x:c>
      <x:c r="C201" s="24" t="str">
        <x:v>Phase C - Commercial lifecycle</x:v>
      </x:c>
      <x:c r="D201" s="24" t="str">
        <x:v>P1</x:v>
      </x:c>
      <x:c r="E201" s="24" t="str">
        <x:v>Acceptance</x:v>
      </x:c>
      <x:c r="F201" s="24" t="str">
        <x:v>Acceptance Criteria</x:v>
      </x:c>
      <x:c r="G201" s="24" t="str">
        <x:v>PDF values exactly match database line items/totals.</x:v>
      </x:c>
      <x:c r="H201" s="24" t="str">
        <x:v>M17</x:v>
      </x:c>
      <x:c r="I201" s="24" t="str"/>
      <x:c r="J201" s="24" t="str">
        <x:v>☐</x:v>
      </x:c>
      <x:c r="K201" s="24" t="str"/>
      <x:c r="L201" s="24"/>
    </x:row>
    <x:row r="202" ht="26.399999618530273" hidden="0" customHeight="1">
      <x:c r="A202" s="24" t="str">
        <x:v>M18</x:v>
      </x:c>
      <x:c r="B202" s="24" t="str">
        <x:v>Invoice Numbers, Line Items, Tax &amp; PDF Document</x:v>
      </x:c>
      <x:c r="C202" s="24" t="str">
        <x:v>Phase C - Commercial lifecycle</x:v>
      </x:c>
      <x:c r="D202" s="24" t="str">
        <x:v>P1</x:v>
      </x:c>
      <x:c r="E202" s="24" t="str">
        <x:v>Acceptance</x:v>
      </x:c>
      <x:c r="F202" s="24" t="str">
        <x:v>Acceptance Criteria</x:v>
      </x:c>
      <x:c r="G202" s="24" t="str">
        <x:v>Invoice can be handed to a finance user without explaining internal database IDs.</x:v>
      </x:c>
      <x:c r="H202" s="24" t="str">
        <x:v>M17</x:v>
      </x:c>
      <x:c r="I202" s="24" t="str"/>
      <x:c r="J202" s="24" t="str">
        <x:v>☐</x:v>
      </x:c>
      <x:c r="K202" s="24" t="str"/>
      <x:c r="L202" s="24"/>
    </x:row>
    <x:row r="203" ht="39.599998474121094" hidden="0" customHeight="1">
      <x:c r="A203" s="24" t="str">
        <x:v>M19</x:v>
      </x:c>
      <x:c r="B203" s="24" t="str">
        <x:v>Payment &amp; Outstanding Tracking</x:v>
      </x:c>
      <x:c r="C203" s="24" t="str">
        <x:v>Phase C - Commercial lifecycle</x:v>
      </x:c>
      <x:c r="D203" s="24" t="str">
        <x:v>P1</x:v>
      </x:c>
      <x:c r="E203" s="24" t="str">
        <x:v>Implementation</x:v>
      </x:c>
      <x:c r="F203" s="24" t="str">
        <x:v>Database</x:v>
      </x:c>
      <x:c r="G203" s="24" t="str">
        <x:v>Add `payments(invoice_id,amount,paid_at,reference,method,notes,recorded_by,created_at)`; index invoice/date.</x:v>
      </x:c>
      <x:c r="H203" s="24" t="str">
        <x:v>M17,M18</x:v>
      </x:c>
      <x:c r="I203" s="24" t="str"/>
      <x:c r="J203" s="24" t="str">
        <x:v>☐</x:v>
      </x:c>
      <x:c r="K203" s="24" t="str"/>
      <x:c r="L203" s="24"/>
    </x:row>
    <x:row r="204" ht="26.399999618530273" hidden="0" customHeight="1">
      <x:c r="A204" s="24" t="str">
        <x:v>M19</x:v>
      </x:c>
      <x:c r="B204" s="24" t="str">
        <x:v>Payment &amp; Outstanding Tracking</x:v>
      </x:c>
      <x:c r="C204" s="24" t="str">
        <x:v>Phase C - Commercial lifecycle</x:v>
      </x:c>
      <x:c r="D204" s="24" t="str">
        <x:v>P1</x:v>
      </x:c>
      <x:c r="E204" s="24" t="str">
        <x:v>Implementation</x:v>
      </x:c>
      <x:c r="F204" s="24" t="str">
        <x:v>Business rules</x:v>
      </x:c>
      <x:c r="G204" s="24" t="str">
        <x:v>Payment can be recorded only against an APPROVED invoice; sum(payments) cannot exceed invoice total unless explicit credit/adjustment functionality is added later.</x:v>
      </x:c>
      <x:c r="H204" s="24" t="str">
        <x:v>M17,M18</x:v>
      </x:c>
      <x:c r="I204" s="24" t="str"/>
      <x:c r="J204" s="24" t="str">
        <x:v>☐</x:v>
      </x:c>
      <x:c r="K204" s="24" t="str"/>
      <x:c r="L204" s="24"/>
    </x:row>
    <x:row r="205" ht="26.399999618530273" hidden="0" customHeight="1">
      <x:c r="A205" s="24" t="str">
        <x:v>M19</x:v>
      </x:c>
      <x:c r="B205" s="24" t="str">
        <x:v>Payment &amp; Outstanding Tracking</x:v>
      </x:c>
      <x:c r="C205" s="24" t="str">
        <x:v>Phase C - Commercial lifecycle</x:v>
      </x:c>
      <x:c r="D205" s="24" t="str">
        <x:v>P1</x:v>
      </x:c>
      <x:c r="E205" s="24" t="str">
        <x:v>Implementation</x:v>
      </x:c>
      <x:c r="F205" s="24" t="str">
        <x:v>Derived status</x:v>
      </x:c>
      <x:c r="G205" s="24" t="str">
        <x:v>Compute UNPAID/PARTIALLY_PAID/PAID from payment sum; compute OVERDUE from due_date + outstanding &gt; 0. Keep this separate from invoice approval lifecycle status.</x:v>
      </x:c>
      <x:c r="H205" s="24" t="str">
        <x:v>M17,M18</x:v>
      </x:c>
      <x:c r="I205" s="24" t="str"/>
      <x:c r="J205" s="24" t="str">
        <x:v>☐</x:v>
      </x:c>
      <x:c r="K205" s="24" t="str"/>
      <x:c r="L205" s="24"/>
    </x:row>
    <x:row r="206" ht="26.399999618530273" hidden="0" customHeight="1">
      <x:c r="A206" s="24" t="str">
        <x:v>M19</x:v>
      </x:c>
      <x:c r="B206" s="24" t="str">
        <x:v>Payment &amp; Outstanding Tracking</x:v>
      </x:c>
      <x:c r="C206" s="24" t="str">
        <x:v>Phase C - Commercial lifecycle</x:v>
      </x:c>
      <x:c r="D206" s="24" t="str">
        <x:v>P1</x:v>
      </x:c>
      <x:c r="E206" s="24" t="str">
        <x:v>Implementation</x:v>
      </x:c>
      <x:c r="F206" s="24" t="str">
        <x:v>Backend</x:v>
      </x:c>
      <x:c r="G206" s="24" t="str">
        <x:v>Vendor records payment received; PM can view payment status for own projects. Every payment is audited.</x:v>
      </x:c>
      <x:c r="H206" s="24" t="str">
        <x:v>M17,M18</x:v>
      </x:c>
      <x:c r="I206" s="24" t="str"/>
      <x:c r="J206" s="24" t="str">
        <x:v>☐</x:v>
      </x:c>
      <x:c r="K206" s="24" t="str"/>
      <x:c r="L206" s="24"/>
    </x:row>
    <x:row r="207" ht="26.399999618530273" hidden="0" customHeight="1">
      <x:c r="A207" s="24" t="str">
        <x:v>M19</x:v>
      </x:c>
      <x:c r="B207" s="24" t="str">
        <x:v>Payment &amp; Outstanding Tracking</x:v>
      </x:c>
      <x:c r="C207" s="24" t="str">
        <x:v>Phase C - Commercial lifecycle</x:v>
      </x:c>
      <x:c r="D207" s="24" t="str">
        <x:v>P1</x:v>
      </x:c>
      <x:c r="E207" s="24" t="str">
        <x:v>Implementation</x:v>
      </x:c>
      <x:c r="F207" s="24" t="str">
        <x:v>Frontend</x:v>
      </x:c>
      <x:c r="G207" s="24" t="str">
        <x:v>Payment history, record-payment modal, outstanding amount, aging buckets and overdue indicators.</x:v>
      </x:c>
      <x:c r="H207" s="24" t="str">
        <x:v>M17,M18</x:v>
      </x:c>
      <x:c r="I207" s="24" t="str"/>
      <x:c r="J207" s="24" t="str">
        <x:v>☐</x:v>
      </x:c>
      <x:c r="K207" s="24" t="str"/>
      <x:c r="L207" s="24"/>
    </x:row>
    <x:row r="208" ht="15" hidden="0" customHeight="1">
      <x:c r="A208" s="24" t="str">
        <x:v>M19</x:v>
      </x:c>
      <x:c r="B208" s="24" t="str">
        <x:v>Payment &amp; Outstanding Tracking</x:v>
      </x:c>
      <x:c r="C208" s="24" t="str">
        <x:v>Phase C - Commercial lifecycle</x:v>
      </x:c>
      <x:c r="D208" s="24" t="str">
        <x:v>P1</x:v>
      </x:c>
      <x:c r="E208" s="24" t="str">
        <x:v>Implementation</x:v>
      </x:c>
      <x:c r="F208" s="24" t="str">
        <x:v>Notifications</x:v>
      </x:c>
      <x:c r="G208" s="24" t="str">
        <x:v>Due-soon/overdue notifications can be added through M14 preferences.</x:v>
      </x:c>
      <x:c r="H208" s="24" t="str">
        <x:v>M17,M18</x:v>
      </x:c>
      <x:c r="I208" s="24" t="str"/>
      <x:c r="J208" s="24" t="str">
        <x:v>☐</x:v>
      </x:c>
      <x:c r="K208" s="24" t="str"/>
      <x:c r="L208" s="24"/>
    </x:row>
    <x:row r="209" ht="26.399999618530273" hidden="0" customHeight="1">
      <x:c r="A209" s="24" t="str">
        <x:v>M19</x:v>
      </x:c>
      <x:c r="B209" s="24" t="str">
        <x:v>Payment &amp; Outstanding Tracking</x:v>
      </x:c>
      <x:c r="C209" s="24" t="str">
        <x:v>Phase C - Commercial lifecycle</x:v>
      </x:c>
      <x:c r="D209" s="24" t="str">
        <x:v>P1</x:v>
      </x:c>
      <x:c r="E209" s="24" t="str">
        <x:v>Implementation</x:v>
      </x:c>
      <x:c r="F209" s="24" t="str">
        <x:v>Tests</x:v>
      </x:c>
      <x:c r="G209" s="24" t="str">
        <x:v>Partial payments, exact payoff, overpayment rejection, payment rollback/audit and timezone-safe due-date calculation.</x:v>
      </x:c>
      <x:c r="H209" s="24" t="str">
        <x:v>M17,M18</x:v>
      </x:c>
      <x:c r="I209" s="24" t="str"/>
      <x:c r="J209" s="24" t="str">
        <x:v>☐</x:v>
      </x:c>
      <x:c r="K209" s="24" t="str"/>
      <x:c r="L209" s="24"/>
    </x:row>
    <x:row r="210" ht="15" hidden="0" customHeight="1">
      <x:c r="A210" s="24" t="str">
        <x:v>M19</x:v>
      </x:c>
      <x:c r="B210" s="24" t="str">
        <x:v>Payment &amp; Outstanding Tracking</x:v>
      </x:c>
      <x:c r="C210" s="24" t="str">
        <x:v>Phase C - Commercial lifecycle</x:v>
      </x:c>
      <x:c r="D210" s="24" t="str">
        <x:v>P1</x:v>
      </x:c>
      <x:c r="E210" s="24" t="str">
        <x:v>Acceptance</x:v>
      </x:c>
      <x:c r="F210" s="24" t="str">
        <x:v>Acceptance Criteria</x:v>
      </x:c>
      <x:c r="G210" s="24" t="str">
        <x:v>Dashboard can distinguish invoiced, approved, paid and outstanding.</x:v>
      </x:c>
      <x:c r="H210" s="24" t="str">
        <x:v>M17,M18</x:v>
      </x:c>
      <x:c r="I210" s="24" t="str"/>
      <x:c r="J210" s="24" t="str">
        <x:v>☐</x:v>
      </x:c>
      <x:c r="K210" s="24" t="str"/>
      <x:c r="L210" s="24"/>
    </x:row>
    <x:row r="211" ht="15" hidden="0" customHeight="1">
      <x:c r="A211" s="24" t="str">
        <x:v>M19</x:v>
      </x:c>
      <x:c r="B211" s="24" t="str">
        <x:v>Payment &amp; Outstanding Tracking</x:v>
      </x:c>
      <x:c r="C211" s="24" t="str">
        <x:v>Phase C - Commercial lifecycle</x:v>
      </x:c>
      <x:c r="D211" s="24" t="str">
        <x:v>P1</x:v>
      </x:c>
      <x:c r="E211" s="24" t="str">
        <x:v>Acceptance</x:v>
      </x:c>
      <x:c r="F211" s="24" t="str">
        <x:v>Acceptance Criteria</x:v>
      </x:c>
      <x:c r="G211" s="24" t="str">
        <x:v>Partial payment history is preserved.</x:v>
      </x:c>
      <x:c r="H211" s="24" t="str">
        <x:v>M17,M18</x:v>
      </x:c>
      <x:c r="I211" s="24" t="str"/>
      <x:c r="J211" s="24" t="str">
        <x:v>☐</x:v>
      </x:c>
      <x:c r="K211" s="24" t="str"/>
      <x:c r="L211" s="24"/>
    </x:row>
    <x:row r="212" ht="15" hidden="0" customHeight="1">
      <x:c r="A212" s="24" t="str">
        <x:v>M19</x:v>
      </x:c>
      <x:c r="B212" s="24" t="str">
        <x:v>Payment &amp; Outstanding Tracking</x:v>
      </x:c>
      <x:c r="C212" s="24" t="str">
        <x:v>Phase C - Commercial lifecycle</x:v>
      </x:c>
      <x:c r="D212" s="24" t="str">
        <x:v>P1</x:v>
      </x:c>
      <x:c r="E212" s="24" t="str">
        <x:v>Acceptance</x:v>
      </x:c>
      <x:c r="F212" s="24" t="str">
        <x:v>Acceptance Criteria</x:v>
      </x:c>
      <x:c r="G212" s="24" t="str">
        <x:v>Overdue is a deterministic derived fact, not a manually assigned status.</x:v>
      </x:c>
      <x:c r="H212" s="24" t="str">
        <x:v>M17,M18</x:v>
      </x:c>
      <x:c r="I212" s="24" t="str"/>
      <x:c r="J212" s="24" t="str">
        <x:v>☐</x:v>
      </x:c>
      <x:c r="K212" s="24" t="str"/>
      <x:c r="L212" s="24"/>
    </x:row>
    <x:row r="213" ht="39.599998474121094" hidden="0" customHeight="1">
      <x:c r="A213" s="24" t="str">
        <x:v>M20</x:v>
      </x:c>
      <x:c r="B213" s="24" t="str">
        <x:v>Business Dashboards, Financial Health &amp; CSV Exports</x:v>
      </x:c>
      <x:c r="C213" s="24" t="str">
        <x:v>Phase C - Commercial lifecycle</x:v>
      </x:c>
      <x:c r="D213" s="24" t="str">
        <x:v>P2</x:v>
      </x:c>
      <x:c r="E213" s="24" t="str">
        <x:v>Implementation</x:v>
      </x:c>
      <x:c r="F213" s="24" t="str">
        <x:v>Vendor dashboard</x:v>
      </x:c>
      <x:c r="G213" s="24" t="str">
        <x:v>Clients/projects, open requirements, candidate funnel/SLA, active/upcoming contractors, compliance expiry, approved hours, billable-uninvoiced, submitted/approved invoices, paid/outstanding/overdue, margin by client/project/skill.</x:v>
      </x:c>
      <x:c r="H213" s="24" t="str">
        <x:v>M05,M10,M13,M15,M19</x:v>
      </x:c>
      <x:c r="I213" s="24" t="str"/>
      <x:c r="J213" s="24" t="str">
        <x:v>☐</x:v>
      </x:c>
      <x:c r="K213" s="24" t="str"/>
      <x:c r="L213" s="24"/>
    </x:row>
    <x:row r="214" ht="26.399999618530273" hidden="0" customHeight="1">
      <x:c r="A214" s="24" t="str">
        <x:v>M20</x:v>
      </x:c>
      <x:c r="B214" s="24" t="str">
        <x:v>Business Dashboards, Financial Health &amp; CSV Exports</x:v>
      </x:c>
      <x:c r="C214" s="24" t="str">
        <x:v>Phase C - Commercial lifecycle</x:v>
      </x:c>
      <x:c r="D214" s="24" t="str">
        <x:v>P2</x:v>
      </x:c>
      <x:c r="E214" s="24" t="str">
        <x:v>Implementation</x:v>
      </x:c>
      <x:c r="F214" s="24" t="str">
        <x:v>PM dashboard</x:v>
      </x:c>
      <x:c r="G214" s="24" t="str">
        <x:v>Project staffing funnel, pending candidate/timesheet/invoice reviews, SLA breaches, budget vs approved work vs invoiced vs paid, milestone progress.</x:v>
      </x:c>
      <x:c r="H214" s="24" t="str">
        <x:v>M05,M10,M13,M15,M19</x:v>
      </x:c>
      <x:c r="I214" s="24" t="str"/>
      <x:c r="J214" s="24" t="str">
        <x:v>☐</x:v>
      </x:c>
      <x:c r="K214" s="24" t="str"/>
      <x:c r="L214" s="24"/>
    </x:row>
    <x:row r="215" ht="39.599998474121094" hidden="0" customHeight="1">
      <x:c r="A215" s="24" t="str">
        <x:v>M20</x:v>
      </x:c>
      <x:c r="B215" s="24" t="str">
        <x:v>Business Dashboards, Financial Health &amp; CSV Exports</x:v>
      </x:c>
      <x:c r="C215" s="24" t="str">
        <x:v>Phase C - Commercial lifecycle</x:v>
      </x:c>
      <x:c r="D215" s="24" t="str">
        <x:v>P2</x:v>
      </x:c>
      <x:c r="E215" s="24" t="str">
        <x:v>Implementation</x:v>
      </x:c>
      <x:c r="F215" s="24" t="str">
        <x:v>Contractor dashboard</x:v>
      </x:c>
      <x:c r="G215" s="24" t="str">
        <x:v>Active/upcoming assignments, allocation vs approved/submitted hours, rejected items requiring action, compliance expiries; if cost-rate/payable is modeled, show contractor payable facts instead of client invoice revenue.</x:v>
      </x:c>
      <x:c r="H215" s="24" t="str">
        <x:v>M05,M10,M13,M15,M19</x:v>
      </x:c>
      <x:c r="I215" s="24" t="str"/>
      <x:c r="J215" s="24" t="str">
        <x:v>☐</x:v>
      </x:c>
      <x:c r="K215" s="24" t="str"/>
      <x:c r="L215" s="24"/>
    </x:row>
    <x:row r="216" ht="26.399999618530273" hidden="0" customHeight="1">
      <x:c r="A216" s="24" t="str">
        <x:v>M20</x:v>
      </x:c>
      <x:c r="B216" s="24" t="str">
        <x:v>Business Dashboards, Financial Health &amp; CSV Exports</x:v>
      </x:c>
      <x:c r="C216" s="24" t="str">
        <x:v>Phase C - Commercial lifecycle</x:v>
      </x:c>
      <x:c r="D216" s="24" t="str">
        <x:v>P2</x:v>
      </x:c>
      <x:c r="E216" s="24" t="str">
        <x:v>Implementation</x:v>
      </x:c>
      <x:c r="F216" s="24" t="str">
        <x:v>Budget analytics</x:v>
      </x:c>
      <x:c r="G216" s="24" t="str">
        <x:v>Budget utilization = approved/billable project cost against project budget; show planned/allocated/actual as distinct values.</x:v>
      </x:c>
      <x:c r="H216" s="24" t="str">
        <x:v>M05,M10,M13,M15,M19</x:v>
      </x:c>
      <x:c r="I216" s="24" t="str"/>
      <x:c r="J216" s="24" t="str">
        <x:v>☐</x:v>
      </x:c>
      <x:c r="K216" s="24" t="str"/>
      <x:c r="L216" s="24"/>
    </x:row>
    <x:row r="217" ht="26.399999618530273" hidden="0" customHeight="1">
      <x:c r="A217" s="24" t="str">
        <x:v>M20</x:v>
      </x:c>
      <x:c r="B217" s="24" t="str">
        <x:v>Business Dashboards, Financial Health &amp; CSV Exports</x:v>
      </x:c>
      <x:c r="C217" s="24" t="str">
        <x:v>Phase C - Commercial lifecycle</x:v>
      </x:c>
      <x:c r="D217" s="24" t="str">
        <x:v>P2</x:v>
      </x:c>
      <x:c r="E217" s="24" t="str">
        <x:v>Implementation</x:v>
      </x:c>
      <x:c r="F217" s="24" t="str">
        <x:v>Filters</x:v>
      </x:c>
      <x:c r="G217" s="24" t="str">
        <x:v>Client/project/vendor/skill/status/date filters with server-side aggregation, not client-side full dataset downloads.</x:v>
      </x:c>
      <x:c r="H217" s="24" t="str">
        <x:v>M05,M10,M13,M15,M19</x:v>
      </x:c>
      <x:c r="I217" s="24" t="str"/>
      <x:c r="J217" s="24" t="str">
        <x:v>☐</x:v>
      </x:c>
      <x:c r="K217" s="24" t="str"/>
      <x:c r="L217" s="24"/>
    </x:row>
    <x:row r="218" ht="26.399999618530273" hidden="0" customHeight="1">
      <x:c r="A218" s="24" t="str">
        <x:v>M20</x:v>
      </x:c>
      <x:c r="B218" s="24" t="str">
        <x:v>Business Dashboards, Financial Health &amp; CSV Exports</x:v>
      </x:c>
      <x:c r="C218" s="24" t="str">
        <x:v>Phase C - Commercial lifecycle</x:v>
      </x:c>
      <x:c r="D218" s="24" t="str">
        <x:v>P2</x:v>
      </x:c>
      <x:c r="E218" s="24" t="str">
        <x:v>Implementation</x:v>
      </x:c>
      <x:c r="F218" s="24" t="str">
        <x:v>CSV</x:v>
      </x:c>
      <x:c r="G218" s="24" t="str">
        <x:v>Export contractors/assignments, approved timesheets, invoice headers/items, payments and project financial summary. Use the same filters as the screen.</x:v>
      </x:c>
      <x:c r="H218" s="24" t="str">
        <x:v>M05,M10,M13,M15,M19</x:v>
      </x:c>
      <x:c r="I218" s="24" t="str"/>
      <x:c r="J218" s="24" t="str">
        <x:v>☐</x:v>
      </x:c>
      <x:c r="K218" s="24" t="str"/>
      <x:c r="L218" s="24"/>
    </x:row>
    <x:row r="219" ht="26.399999618530273" hidden="0" customHeight="1">
      <x:c r="A219" s="24" t="str">
        <x:v>M20</x:v>
      </x:c>
      <x:c r="B219" s="24" t="str">
        <x:v>Business Dashboards, Financial Health &amp; CSV Exports</x:v>
      </x:c>
      <x:c r="C219" s="24" t="str">
        <x:v>Phase C - Commercial lifecycle</x:v>
      </x:c>
      <x:c r="D219" s="24" t="str">
        <x:v>P2</x:v>
      </x:c>
      <x:c r="E219" s="24" t="str">
        <x:v>Implementation</x:v>
      </x:c>
      <x:c r="F219" s="24" t="str">
        <x:v>Performance</x:v>
      </x:c>
      <x:c r="G219" s="24" t="str">
        <x:v>Add targeted aggregation indexes and query limits; inspect plans for the largest dashboard queries.</x:v>
      </x:c>
      <x:c r="H219" s="24" t="str">
        <x:v>M05,M10,M13,M15,M19</x:v>
      </x:c>
      <x:c r="I219" s="24" t="str"/>
      <x:c r="J219" s="24" t="str">
        <x:v>☐</x:v>
      </x:c>
      <x:c r="K219" s="24" t="str"/>
      <x:c r="L219" s="24"/>
    </x:row>
    <x:row r="220" ht="26.399999618530273" hidden="0" customHeight="1">
      <x:c r="A220" s="24" t="str">
        <x:v>M20</x:v>
      </x:c>
      <x:c r="B220" s="24" t="str">
        <x:v>Business Dashboards, Financial Health &amp; CSV Exports</x:v>
      </x:c>
      <x:c r="C220" s="24" t="str">
        <x:v>Phase C - Commercial lifecycle</x:v>
      </x:c>
      <x:c r="D220" s="24" t="str">
        <x:v>P2</x:v>
      </x:c>
      <x:c r="E220" s="24" t="str">
        <x:v>Implementation</x:v>
      </x:c>
      <x:c r="F220" s="24" t="str">
        <x:v>Tests</x:v>
      </x:c>
      <x:c r="G220" s="24" t="str">
        <x:v>Metric definitions against known fixture data, terminology consistency, CSV totals matching API/dashboard values.</x:v>
      </x:c>
      <x:c r="H220" s="24" t="str">
        <x:v>M05,M10,M13,M15,M19</x:v>
      </x:c>
      <x:c r="I220" s="24" t="str"/>
      <x:c r="J220" s="24" t="str">
        <x:v>☐</x:v>
      </x:c>
      <x:c r="K220" s="24" t="str"/>
      <x:c r="L220" s="24"/>
    </x:row>
    <x:row r="221" ht="26.399999618530273" hidden="0" customHeight="1">
      <x:c r="A221" s="24" t="str">
        <x:v>M20</x:v>
      </x:c>
      <x:c r="B221" s="24" t="str">
        <x:v>Business Dashboards, Financial Health &amp; CSV Exports</x:v>
      </x:c>
      <x:c r="C221" s="24" t="str">
        <x:v>Phase C - Commercial lifecycle</x:v>
      </x:c>
      <x:c r="D221" s="24" t="str">
        <x:v>P2</x:v>
      </x:c>
      <x:c r="E221" s="24" t="str">
        <x:v>Acceptance</x:v>
      </x:c>
      <x:c r="F221" s="24" t="str">
        <x:v>Acceptance Criteria</x:v>
      </x:c>
      <x:c r="G221" s="24" t="str">
        <x:v>No dashboard uses “revenue/paid” interchangeably.</x:v>
      </x:c>
      <x:c r="H221" s="24" t="str">
        <x:v>M05,M10,M13,M15,M19</x:v>
      </x:c>
      <x:c r="I221" s="24" t="str"/>
      <x:c r="J221" s="24" t="str">
        <x:v>☐</x:v>
      </x:c>
      <x:c r="K221" s="24" t="str"/>
      <x:c r="L221" s="24"/>
    </x:row>
    <x:row r="222" ht="26.399999618530273" hidden="0" customHeight="1">
      <x:c r="A222" s="24" t="str">
        <x:v>M20</x:v>
      </x:c>
      <x:c r="B222" s="24" t="str">
        <x:v>Business Dashboards, Financial Health &amp; CSV Exports</x:v>
      </x:c>
      <x:c r="C222" s="24" t="str">
        <x:v>Phase C - Commercial lifecycle</x:v>
      </x:c>
      <x:c r="D222" s="24" t="str">
        <x:v>P2</x:v>
      </x:c>
      <x:c r="E222" s="24" t="str">
        <x:v>Acceptance</x:v>
      </x:c>
      <x:c r="F222" s="24" t="str">
        <x:v>Acceptance Criteria</x:v>
      </x:c>
      <x:c r="G222" s="24" t="str">
        <x:v>Budget, billed, approved, paid and outstanding are distinct.</x:v>
      </x:c>
      <x:c r="H222" s="24" t="str">
        <x:v>M05,M10,M13,M15,M19</x:v>
      </x:c>
      <x:c r="I222" s="24" t="str"/>
      <x:c r="J222" s="24" t="str">
        <x:v>☐</x:v>
      </x:c>
      <x:c r="K222" s="24" t="str"/>
      <x:c r="L222" s="24"/>
    </x:row>
    <x:row r="223" ht="26.399999618530273" hidden="0" customHeight="1">
      <x:c r="A223" s="24" t="str">
        <x:v>M20</x:v>
      </x:c>
      <x:c r="B223" s="24" t="str">
        <x:v>Business Dashboards, Financial Health &amp; CSV Exports</x:v>
      </x:c>
      <x:c r="C223" s="24" t="str">
        <x:v>Phase C - Commercial lifecycle</x:v>
      </x:c>
      <x:c r="D223" s="24" t="str">
        <x:v>P2</x:v>
      </x:c>
      <x:c r="E223" s="24" t="str">
        <x:v>Acceptance</x:v>
      </x:c>
      <x:c r="F223" s="24" t="str">
        <x:v>Acceptance Criteria</x:v>
      </x:c>
      <x:c r="G223" s="24" t="str">
        <x:v>Finance/operations can export filtered CSV that reconciles to on-screen totals.</x:v>
      </x:c>
      <x:c r="H223" s="24" t="str">
        <x:v>M05,M10,M13,M15,M19</x:v>
      </x:c>
      <x:c r="I223" s="24" t="str"/>
      <x:c r="J223" s="24" t="str">
        <x:v>☐</x:v>
      </x:c>
      <x:c r="K223" s="24" t="str"/>
      <x:c r="L223" s="24"/>
    </x:row>
    <x:row r="224" ht="26.399999618530273" hidden="0" customHeight="1">
      <x:c r="A224" s="24" t="str">
        <x:v>M21</x:v>
      </x:c>
      <x:c r="B224" s="24" t="str">
        <x:v>Contractor Offboarding, History &amp; Project Close Safeguards</x:v>
      </x:c>
      <x:c r="C224" s="24" t="str">
        <x:v>Phase D - Portfolio-grade operations</x:v>
      </x:c>
      <x:c r="D224" s="24" t="str">
        <x:v>P2</x:v>
      </x:c>
      <x:c r="E224" s="24" t="str">
        <x:v>Implementation</x:v>
      </x:c>
      <x:c r="F224" s="24" t="str">
        <x:v>Assignment</x:v>
      </x:c>
      <x:c r="G224" s="24" t="str">
        <x:v>Extend release with planned/actual last working date, release reason and actor.</x:v>
      </x:c>
      <x:c r="H224" s="24" t="str">
        <x:v>M11,M19,M04</x:v>
      </x:c>
      <x:c r="I224" s="24" t="str"/>
      <x:c r="J224" s="24" t="str">
        <x:v>☐</x:v>
      </x:c>
      <x:c r="K224" s="24" t="str"/>
      <x:c r="L224" s="24"/>
    </x:row>
    <x:row r="225" ht="39.599998474121094" hidden="0" customHeight="1">
      <x:c r="A225" s="24" t="str">
        <x:v>M21</x:v>
      </x:c>
      <x:c r="B225" s="24" t="str">
        <x:v>Contractor Offboarding, History &amp; Project Close Safeguards</x:v>
      </x:c>
      <x:c r="C225" s="24" t="str">
        <x:v>Phase D - Portfolio-grade operations</x:v>
      </x:c>
      <x:c r="D225" s="24" t="str">
        <x:v>P2</x:v>
      </x:c>
      <x:c r="E225" s="24" t="str">
        <x:v>Implementation</x:v>
      </x:c>
      <x:c r="F225" s="24" t="str">
        <x:v>Checks</x:v>
      </x:c>
      <x:c r="G225" s="24" t="str">
        <x:v>Before release/project completion, surface submitted/rejected timesheets, unbilled milestone contributions, draft/submitted invoices and unpaid approved invoices. Decide which are blockers vs warnings explicitly.</x:v>
      </x:c>
      <x:c r="H225" s="24" t="str">
        <x:v>M11,M19,M04</x:v>
      </x:c>
      <x:c r="I225" s="24" t="str"/>
      <x:c r="J225" s="24" t="str">
        <x:v>☐</x:v>
      </x:c>
      <x:c r="K225" s="24" t="str"/>
      <x:c r="L225" s="24"/>
    </x:row>
    <x:row r="226" ht="26.399999618530273" hidden="0" customHeight="1">
      <x:c r="A226" s="24" t="str">
        <x:v>M21</x:v>
      </x:c>
      <x:c r="B226" s="24" t="str">
        <x:v>Contractor Offboarding, History &amp; Project Close Safeguards</x:v>
      </x:c>
      <x:c r="C226" s="24" t="str">
        <x:v>Phase D - Portfolio-grade operations</x:v>
      </x:c>
      <x:c r="D226" s="24" t="str">
        <x:v>P2</x:v>
      </x:c>
      <x:c r="E226" s="24" t="str">
        <x:v>Implementation</x:v>
      </x:c>
      <x:c r="F226" s="24" t="str">
        <x:v>History</x:v>
      </x:c>
      <x:c r="G226" s="24" t="str">
        <x:v>Contractor history page: past assignments, client/project, dates, skills/role, approved hours, rate snapshot and billing/payment facts authorized to Vendor.</x:v>
      </x:c>
      <x:c r="H226" s="24" t="str">
        <x:v>M11,M19,M04</x:v>
      </x:c>
      <x:c r="I226" s="24" t="str"/>
      <x:c r="J226" s="24" t="str">
        <x:v>☐</x:v>
      </x:c>
      <x:c r="K226" s="24" t="str"/>
      <x:c r="L226" s="24"/>
    </x:row>
    <x:row r="227" ht="26.399999618530273" hidden="0" customHeight="1">
      <x:c r="A227" s="24" t="str">
        <x:v>M21</x:v>
      </x:c>
      <x:c r="B227" s="24" t="str">
        <x:v>Contractor Offboarding, History &amp; Project Close Safeguards</x:v>
      </x:c>
      <x:c r="C227" s="24" t="str">
        <x:v>Phase D - Portfolio-grade operations</x:v>
      </x:c>
      <x:c r="D227" s="24" t="str">
        <x:v>P2</x:v>
      </x:c>
      <x:c r="E227" s="24" t="str">
        <x:v>Implementation</x:v>
      </x:c>
      <x:c r="F227" s="24" t="str">
        <x:v>Project close</x:v>
      </x:c>
      <x:c r="G227" s="24" t="str">
        <x:v>Completion checklist confirms staffing released, approvals handled and billing status understood; project status change remains explicit, never auto-triggered by hours.</x:v>
      </x:c>
      <x:c r="H227" s="24" t="str">
        <x:v>M11,M19,M04</x:v>
      </x:c>
      <x:c r="I227" s="24" t="str"/>
      <x:c r="J227" s="24" t="str">
        <x:v>☐</x:v>
      </x:c>
      <x:c r="K227" s="24" t="str"/>
      <x:c r="L227" s="24"/>
    </x:row>
    <x:row r="228" ht="26.399999618530273" hidden="0" customHeight="1">
      <x:c r="A228" s="24" t="str">
        <x:v>M21</x:v>
      </x:c>
      <x:c r="B228" s="24" t="str">
        <x:v>Contractor Offboarding, History &amp; Project Close Safeguards</x:v>
      </x:c>
      <x:c r="C228" s="24" t="str">
        <x:v>Phase D - Portfolio-grade operations</x:v>
      </x:c>
      <x:c r="D228" s="24" t="str">
        <x:v>P2</x:v>
      </x:c>
      <x:c r="E228" s="24" t="str">
        <x:v>Implementation</x:v>
      </x:c>
      <x:c r="F228" s="24" t="str">
        <x:v>Audit</x:v>
      </x:c>
      <x:c r="G228" s="24" t="str">
        <x:v>All close/release actions recorded.</x:v>
      </x:c>
      <x:c r="H228" s="24" t="str">
        <x:v>M11,M19,M04</x:v>
      </x:c>
      <x:c r="I228" s="24" t="str"/>
      <x:c r="J228" s="24" t="str">
        <x:v>☐</x:v>
      </x:c>
      <x:c r="K228" s="24" t="str"/>
      <x:c r="L228" s="24"/>
    </x:row>
    <x:row r="229" ht="26.399999618530273" hidden="0" customHeight="1">
      <x:c r="A229" s="24" t="str">
        <x:v>M21</x:v>
      </x:c>
      <x:c r="B229" s="24" t="str">
        <x:v>Contractor Offboarding, History &amp; Project Close Safeguards</x:v>
      </x:c>
      <x:c r="C229" s="24" t="str">
        <x:v>Phase D - Portfolio-grade operations</x:v>
      </x:c>
      <x:c r="D229" s="24" t="str">
        <x:v>P2</x:v>
      </x:c>
      <x:c r="E229" s="24" t="str">
        <x:v>Implementation</x:v>
      </x:c>
      <x:c r="F229" s="24" t="str">
        <x:v>Tests</x:v>
      </x:c>
      <x:c r="G229" s="24" t="str">
        <x:v>Release with pending work, project completion with unresolved records, historical visibility after contractor status INACTIVE.</x:v>
      </x:c>
      <x:c r="H229" s="24" t="str">
        <x:v>M11,M19,M04</x:v>
      </x:c>
      <x:c r="I229" s="24" t="str"/>
      <x:c r="J229" s="24" t="str">
        <x:v>☐</x:v>
      </x:c>
      <x:c r="K229" s="24" t="str"/>
      <x:c r="L229" s="24"/>
    </x:row>
    <x:row r="230" ht="26.399999618530273" hidden="0" customHeight="1">
      <x:c r="A230" s="24" t="str">
        <x:v>M21</x:v>
      </x:c>
      <x:c r="B230" s="24" t="str">
        <x:v>Contractor Offboarding, History &amp; Project Close Safeguards</x:v>
      </x:c>
      <x:c r="C230" s="24" t="str">
        <x:v>Phase D - Portfolio-grade operations</x:v>
      </x:c>
      <x:c r="D230" s="24" t="str">
        <x:v>P2</x:v>
      </x:c>
      <x:c r="E230" s="24" t="str">
        <x:v>Acceptance</x:v>
      </x:c>
      <x:c r="F230" s="24" t="str">
        <x:v>Acceptance Criteria</x:v>
      </x:c>
      <x:c r="G230" s="24" t="str">
        <x:v>Individual release and project completion explain unresolved work instead of silently hiding it.</x:v>
      </x:c>
      <x:c r="H230" s="24" t="str">
        <x:v>M11,M19,M04</x:v>
      </x:c>
      <x:c r="I230" s="24" t="str"/>
      <x:c r="J230" s="24" t="str">
        <x:v>☐</x:v>
      </x:c>
      <x:c r="K230" s="24" t="str"/>
      <x:c r="L230" s="24"/>
    </x:row>
    <x:row r="231" ht="26.399999618530273" hidden="0" customHeight="1">
      <x:c r="A231" s="24" t="str">
        <x:v>M21</x:v>
      </x:c>
      <x:c r="B231" s="24" t="str">
        <x:v>Contractor Offboarding, History &amp; Project Close Safeguards</x:v>
      </x:c>
      <x:c r="C231" s="24" t="str">
        <x:v>Phase D - Portfolio-grade operations</x:v>
      </x:c>
      <x:c r="D231" s="24" t="str">
        <x:v>P2</x:v>
      </x:c>
      <x:c r="E231" s="24" t="str">
        <x:v>Acceptance</x:v>
      </x:c>
      <x:c r="F231" s="24" t="str">
        <x:v>Acceptance Criteria</x:v>
      </x:c>
      <x:c r="G231" s="24" t="str">
        <x:v>Historical assignment and financial records remain queryable after offboarding.</x:v>
      </x:c>
      <x:c r="H231" s="24" t="str">
        <x:v>M11,M19,M04</x:v>
      </x:c>
      <x:c r="I231" s="24" t="str"/>
      <x:c r="J231" s="24" t="str">
        <x:v>☐</x:v>
      </x:c>
      <x:c r="K231" s="24" t="str"/>
      <x:c r="L231" s="24"/>
    </x:row>
    <x:row r="232" ht="26.399999618530273" hidden="0" customHeight="1">
      <x:c r="A232" s="24" t="str">
        <x:v>M22</x:v>
      </x:c>
      <x:c r="B232" s="24" t="str">
        <x:v>Production Deployment, Backup, Security &amp; Demo Environment</x:v>
      </x:c>
      <x:c r="C232" s="24" t="str">
        <x:v>Phase D - Portfolio-grade operations</x:v>
      </x:c>
      <x:c r="D232" s="24" t="str">
        <x:v>P2</x:v>
      </x:c>
      <x:c r="E232" s="24" t="str">
        <x:v>Implementation</x:v>
      </x:c>
      <x:c r="F232" s="24" t="str">
        <x:v>Containers</x:v>
      </x:c>
      <x:c r="G232" s="24" t="str">
        <x:v>Add Dockerfiles and docker-compose for backend/frontend/MySQL in local demo; migration command must run explicitly and idempotently.</x:v>
      </x:c>
      <x:c r="H232" s="24" t="str">
        <x:v>M01,M02,M03,M20</x:v>
      </x:c>
      <x:c r="I232" s="24" t="str"/>
      <x:c r="J232" s="24" t="str">
        <x:v>☐</x:v>
      </x:c>
      <x:c r="K232" s="24" t="str"/>
      <x:c r="L232" s="24"/>
    </x:row>
    <x:row r="233" ht="26.399999618530273" hidden="0" customHeight="1">
      <x:c r="A233" s="24" t="str">
        <x:v>M22</x:v>
      </x:c>
      <x:c r="B233" s="24" t="str">
        <x:v>Production Deployment, Backup, Security &amp; Demo Environment</x:v>
      </x:c>
      <x:c r="C233" s="24" t="str">
        <x:v>Phase D - Portfolio-grade operations</x:v>
      </x:c>
      <x:c r="D233" s="24" t="str">
        <x:v>P2</x:v>
      </x:c>
      <x:c r="E233" s="24" t="str">
        <x:v>Implementation</x:v>
      </x:c>
      <x:c r="F233" s="24" t="str">
        <x:v>Environment</x:v>
      </x:c>
      <x:c r="G233" s="24" t="str">
        <x:v>Separate dev/test/prod config, secure secret handling, strict production CORS, cookie/security settings and storage configuration.</x:v>
      </x:c>
      <x:c r="H233" s="24" t="str">
        <x:v>M01,M02,M03,M20</x:v>
      </x:c>
      <x:c r="I233" s="24" t="str"/>
      <x:c r="J233" s="24" t="str">
        <x:v>☐</x:v>
      </x:c>
      <x:c r="K233" s="24" t="str"/>
      <x:c r="L233" s="24"/>
    </x:row>
    <x:row r="234" ht="26.399999618530273" hidden="0" customHeight="1">
      <x:c r="A234" s="24" t="str">
        <x:v>M22</x:v>
      </x:c>
      <x:c r="B234" s="24" t="str">
        <x:v>Production Deployment, Backup, Security &amp; Demo Environment</x:v>
      </x:c>
      <x:c r="C234" s="24" t="str">
        <x:v>Phase D - Portfolio-grade operations</x:v>
      </x:c>
      <x:c r="D234" s="24" t="str">
        <x:v>P2</x:v>
      </x:c>
      <x:c r="E234" s="24" t="str">
        <x:v>Implementation</x:v>
      </x:c>
      <x:c r="F234" s="24" t="str">
        <x:v>Database ops</x:v>
      </x:c>
      <x:c r="G234" s="24" t="str">
        <x:v>Document backup/restore, migration rollback strategy where possible, and test a restore into a fresh environment.</x:v>
      </x:c>
      <x:c r="H234" s="24" t="str">
        <x:v>M01,M02,M03,M20</x:v>
      </x:c>
      <x:c r="I234" s="24" t="str"/>
      <x:c r="J234" s="24" t="str">
        <x:v>☐</x:v>
      </x:c>
      <x:c r="K234" s="24" t="str"/>
      <x:c r="L234" s="24"/>
    </x:row>
    <x:row r="235" ht="39.599998474121094" hidden="0" customHeight="1">
      <x:c r="A235" s="24" t="str">
        <x:v>M22</x:v>
      </x:c>
      <x:c r="B235" s="24" t="str">
        <x:v>Production Deployment, Backup, Security &amp; Demo Environment</x:v>
      </x:c>
      <x:c r="C235" s="24" t="str">
        <x:v>Phase D - Portfolio-grade operations</x:v>
      </x:c>
      <x:c r="D235" s="24" t="str">
        <x:v>P2</x:v>
      </x:c>
      <x:c r="E235" s="24" t="str">
        <x:v>Implementation</x:v>
      </x:c>
      <x:c r="F235" s="24" t="str">
        <x:v>Demo data</x:v>
      </x:c>
      <x:c r="G235" s="24" t="str">
        <x:v>Seed a deterministic scenario with Vendor, PM/client, contractors, requirements, candidate submissions, approved/rejected timesheets, milestones, invoice and payment states.</x:v>
      </x:c>
      <x:c r="H235" s="24" t="str">
        <x:v>M01,M02,M03,M20</x:v>
      </x:c>
      <x:c r="I235" s="24" t="str"/>
      <x:c r="J235" s="24" t="str">
        <x:v>☐</x:v>
      </x:c>
      <x:c r="K235" s="24" t="str"/>
      <x:c r="L235" s="24"/>
    </x:row>
    <x:row r="236" ht="26.399999618530273" hidden="0" customHeight="1">
      <x:c r="A236" s="24" t="str">
        <x:v>M22</x:v>
      </x:c>
      <x:c r="B236" s="24" t="str">
        <x:v>Production Deployment, Backup, Security &amp; Demo Environment</x:v>
      </x:c>
      <x:c r="C236" s="24" t="str">
        <x:v>Phase D - Portfolio-grade operations</x:v>
      </x:c>
      <x:c r="D236" s="24" t="str">
        <x:v>P2</x:v>
      </x:c>
      <x:c r="E236" s="24" t="str">
        <x:v>Implementation</x:v>
      </x:c>
      <x:c r="F236" s="24" t="str">
        <x:v>E2E</x:v>
      </x:c>
      <x:c r="G236" s="24" t="str">
        <x:v>Add Playwright smoke journeys for Vendor -&gt; candidate submit, PM accept, contractor timesheet, PM review, vendor invoice submit, PM approve, payment record.</x:v>
      </x:c>
      <x:c r="H236" s="24" t="str">
        <x:v>M01,M02,M03,M20</x:v>
      </x:c>
      <x:c r="I236" s="24" t="str"/>
      <x:c r="J236" s="24" t="str">
        <x:v>☐</x:v>
      </x:c>
      <x:c r="K236" s="24" t="str"/>
      <x:c r="L236" s="24"/>
    </x:row>
    <x:row r="237" ht="26.399999618530273" hidden="0" customHeight="1">
      <x:c r="A237" s="24" t="str">
        <x:v>M22</x:v>
      </x:c>
      <x:c r="B237" s="24" t="str">
        <x:v>Production Deployment, Backup, Security &amp; Demo Environment</x:v>
      </x:c>
      <x:c r="C237" s="24" t="str">
        <x:v>Phase D - Portfolio-grade operations</x:v>
      </x:c>
      <x:c r="D237" s="24" t="str">
        <x:v>P2</x:v>
      </x:c>
      <x:c r="E237" s="24" t="str">
        <x:v>Implementation</x:v>
      </x:c>
      <x:c r="F237" s="24" t="str">
        <x:v>Performance</x:v>
      </x:c>
      <x:c r="G237" s="24" t="str">
        <x:v>Basic load checks on list/search and concurrent approval/assignment hotspots.</x:v>
      </x:c>
      <x:c r="H237" s="24" t="str">
        <x:v>M01,M02,M03,M20</x:v>
      </x:c>
      <x:c r="I237" s="24" t="str"/>
      <x:c r="J237" s="24" t="str">
        <x:v>☐</x:v>
      </x:c>
      <x:c r="K237" s="24" t="str"/>
      <x:c r="L237" s="24"/>
    </x:row>
    <x:row r="238" ht="26.399999618530273" hidden="0" customHeight="1">
      <x:c r="A238" s="24" t="str">
        <x:v>M22</x:v>
      </x:c>
      <x:c r="B238" s="24" t="str">
        <x:v>Production Deployment, Backup, Security &amp; Demo Environment</x:v>
      </x:c>
      <x:c r="C238" s="24" t="str">
        <x:v>Phase D - Portfolio-grade operations</x:v>
      </x:c>
      <x:c r="D238" s="24" t="str">
        <x:v>P2</x:v>
      </x:c>
      <x:c r="E238" s="24" t="str">
        <x:v>Implementation</x:v>
      </x:c>
      <x:c r="F238" s="24" t="str">
        <x:v>Security review</x:v>
      </x:c>
      <x:c r="G238" s="24" t="str">
        <x:v>Dependency audit, headers, file upload limits, authorization matrix and secret scan.</x:v>
      </x:c>
      <x:c r="H238" s="24" t="str">
        <x:v>M01,M02,M03,M20</x:v>
      </x:c>
      <x:c r="I238" s="24" t="str"/>
      <x:c r="J238" s="24" t="str">
        <x:v>☐</x:v>
      </x:c>
      <x:c r="K238" s="24" t="str"/>
      <x:c r="L238" s="24"/>
    </x:row>
    <x:row r="239" ht="26.399999618530273" hidden="0" customHeight="1">
      <x:c r="A239" s="24" t="str">
        <x:v>M22</x:v>
      </x:c>
      <x:c r="B239" s="24" t="str">
        <x:v>Production Deployment, Backup, Security &amp; Demo Environment</x:v>
      </x:c>
      <x:c r="C239" s="24" t="str">
        <x:v>Phase D - Portfolio-grade operations</x:v>
      </x:c>
      <x:c r="D239" s="24" t="str">
        <x:v>P2</x:v>
      </x:c>
      <x:c r="E239" s="24" t="str">
        <x:v>Implementation</x:v>
      </x:c>
      <x:c r="F239" s="24" t="str">
        <x:v>Deployment</x:v>
      </x:c>
      <x:c r="G239" s="24" t="str">
        <x:v>Host one demo environment or provide one-command local demo; keep provider-specific choices outside core domain code.</x:v>
      </x:c>
      <x:c r="H239" s="24" t="str">
        <x:v>M01,M02,M03,M20</x:v>
      </x:c>
      <x:c r="I239" s="24" t="str"/>
      <x:c r="J239" s="24" t="str">
        <x:v>☐</x:v>
      </x:c>
      <x:c r="K239" s="24" t="str"/>
      <x:c r="L239" s="24"/>
    </x:row>
    <x:row r="240" ht="26.399999618530273" hidden="0" customHeight="1">
      <x:c r="A240" s="24" t="str">
        <x:v>M22</x:v>
      </x:c>
      <x:c r="B240" s="24" t="str">
        <x:v>Production Deployment, Backup, Security &amp; Demo Environment</x:v>
      </x:c>
      <x:c r="C240" s="24" t="str">
        <x:v>Phase D - Portfolio-grade operations</x:v>
      </x:c>
      <x:c r="D240" s="24" t="str">
        <x:v>P2</x:v>
      </x:c>
      <x:c r="E240" s="24" t="str">
        <x:v>Acceptance</x:v>
      </x:c>
      <x:c r="F240" s="24" t="str">
        <x:v>Acceptance Criteria</x:v>
      </x:c>
      <x:c r="G240" s="24" t="str">
        <x:v>Clean checkout can start the complete system with documented commands.</x:v>
      </x:c>
      <x:c r="H240" s="24" t="str">
        <x:v>M01,M02,M03,M20</x:v>
      </x:c>
      <x:c r="I240" s="24" t="str"/>
      <x:c r="J240" s="24" t="str">
        <x:v>☐</x:v>
      </x:c>
      <x:c r="K240" s="24" t="str"/>
      <x:c r="L240" s="24"/>
    </x:row>
    <x:row r="241" ht="26.399999618530273" hidden="0" customHeight="1">
      <x:c r="A241" s="24" t="str">
        <x:v>M22</x:v>
      </x:c>
      <x:c r="B241" s="24" t="str">
        <x:v>Production Deployment, Backup, Security &amp; Demo Environment</x:v>
      </x:c>
      <x:c r="C241" s="24" t="str">
        <x:v>Phase D - Portfolio-grade operations</x:v>
      </x:c>
      <x:c r="D241" s="24" t="str">
        <x:v>P2</x:v>
      </x:c>
      <x:c r="E241" s="24" t="str">
        <x:v>Acceptance</x:v>
      </x:c>
      <x:c r="F241" s="24" t="str">
        <x:v>Acceptance Criteria</x:v>
      </x:c>
      <x:c r="G241" s="24" t="str">
        <x:v>Backup restore is tested.</x:v>
      </x:c>
      <x:c r="H241" s="24" t="str">
        <x:v>M01,M02,M03,M20</x:v>
      </x:c>
      <x:c r="I241" s="24" t="str"/>
      <x:c r="J241" s="24" t="str">
        <x:v>☐</x:v>
      </x:c>
      <x:c r="K241" s="24" t="str"/>
      <x:c r="L241" s="24"/>
    </x:row>
    <x:row r="242" ht="26.399999618530273" hidden="0" customHeight="1">
      <x:c r="A242" s="24" t="str">
        <x:v>M22</x:v>
      </x:c>
      <x:c r="B242" s="24" t="str">
        <x:v>Production Deployment, Backup, Security &amp; Demo Environment</x:v>
      </x:c>
      <x:c r="C242" s="24" t="str">
        <x:v>Phase D - Portfolio-grade operations</x:v>
      </x:c>
      <x:c r="D242" s="24" t="str">
        <x:v>P2</x:v>
      </x:c>
      <x:c r="E242" s="24" t="str">
        <x:v>Acceptance</x:v>
      </x:c>
      <x:c r="F242" s="24" t="str">
        <x:v>Acceptance Criteria</x:v>
      </x:c>
      <x:c r="G242" s="24" t="str">
        <x:v>A reviewer can exercise the main end-to-end lifecycle with seeded accounts/data.</x:v>
      </x:c>
      <x:c r="H242" s="24" t="str">
        <x:v>M01,M02,M03,M20</x:v>
      </x:c>
      <x:c r="I242" s="24" t="str"/>
      <x:c r="J242" s="24" t="str">
        <x:v>☐</x:v>
      </x:c>
      <x:c r="K242" s="24" t="str"/>
      <x:c r="L242" s="24"/>
    </x:row>
    <x:row r="243" ht="26.399999618530273" hidden="0" customHeight="1">
      <x:c r="A243" s="24" t="str">
        <x:v>M23</x:v>
      </x:c>
      <x:c r="B243" s="24" t="str">
        <x:v>Final Architecture Audit, Release &amp; Internship Story</x:v>
      </x:c>
      <x:c r="C243" s="24" t="str">
        <x:v>Phase D - Portfolio-grade operations</x:v>
      </x:c>
      <x:c r="D243" s="24" t="str">
        <x:v>P2</x:v>
      </x:c>
      <x:c r="E243" s="24" t="str">
        <x:v>Implementation</x:v>
      </x:c>
      <x:c r="F243" s="24" t="str">
        <x:v>Audit</x:v>
      </x:c>
      <x:c r="G243" s="24" t="str">
        <x:v>Re-review every migration/service/repository/route/frontend workflow against the final architecture and original spec; list deliberate deviations.</x:v>
      </x:c>
      <x:c r="H243" s="24" t="str">
        <x:v>M00-M22</x:v>
      </x:c>
      <x:c r="I243" s="24" t="str"/>
      <x:c r="J243" s="24" t="str">
        <x:v>☐</x:v>
      </x:c>
      <x:c r="K243" s="24" t="str"/>
      <x:c r="L243" s="24"/>
    </x:row>
    <x:row r="244" ht="26.399999618530273" hidden="0" customHeight="1">
      <x:c r="A244" s="24" t="str">
        <x:v>M23</x:v>
      </x:c>
      <x:c r="B244" s="24" t="str">
        <x:v>Final Architecture Audit, Release &amp; Internship Story</x:v>
      </x:c>
      <x:c r="C244" s="24" t="str">
        <x:v>Phase D - Portfolio-grade operations</x:v>
      </x:c>
      <x:c r="D244" s="24" t="str">
        <x:v>P2</x:v>
      </x:c>
      <x:c r="E244" s="24" t="str">
        <x:v>Implementation</x:v>
      </x:c>
      <x:c r="F244" s="24" t="str">
        <x:v>Security</x:v>
      </x:c>
      <x:c r="G244" s="24" t="str">
        <x:v>Authorization matrix test across Vendor/Contractor/PM, including all new client/project/candidate/document/invoice/payment resources.</x:v>
      </x:c>
      <x:c r="H244" s="24" t="str">
        <x:v>M00-M22</x:v>
      </x:c>
      <x:c r="I244" s="24" t="str"/>
      <x:c r="J244" s="24" t="str">
        <x:v>☐</x:v>
      </x:c>
      <x:c r="K244" s="24" t="str"/>
      <x:c r="L244" s="24"/>
    </x:row>
    <x:row r="245" ht="26.399999618530273" hidden="0" customHeight="1">
      <x:c r="A245" s="24" t="str">
        <x:v>M23</x:v>
      </x:c>
      <x:c r="B245" s="24" t="str">
        <x:v>Final Architecture Audit, Release &amp; Internship Story</x:v>
      </x:c>
      <x:c r="C245" s="24" t="str">
        <x:v>Phase D - Portfolio-grade operations</x:v>
      </x:c>
      <x:c r="D245" s="24" t="str">
        <x:v>P2</x:v>
      </x:c>
      <x:c r="E245" s="24" t="str">
        <x:v>Implementation</x:v>
      </x:c>
      <x:c r="F245" s="24" t="str">
        <x:v>Data integrity</x:v>
      </x:c>
      <x:c r="G245" s="24" t="str">
        <x:v>Reconcile approved hours -&gt; milestone billings -&gt; invoice items -&gt; invoice totals -&gt; payments; add one automated reconciliation test.</x:v>
      </x:c>
      <x:c r="H245" s="24" t="str">
        <x:v>M00-M22</x:v>
      </x:c>
      <x:c r="I245" s="24" t="str"/>
      <x:c r="J245" s="24" t="str">
        <x:v>☐</x:v>
      </x:c>
      <x:c r="K245" s="24" t="str"/>
      <x:c r="L245" s="24"/>
    </x:row>
    <x:row r="246" ht="26.399999618530273" hidden="0" customHeight="1">
      <x:c r="A246" s="24" t="str">
        <x:v>M23</x:v>
      </x:c>
      <x:c r="B246" s="24" t="str">
        <x:v>Final Architecture Audit, Release &amp; Internship Story</x:v>
      </x:c>
      <x:c r="C246" s="24" t="str">
        <x:v>Phase D - Portfolio-grade operations</x:v>
      </x:c>
      <x:c r="D246" s="24" t="str">
        <x:v>P2</x:v>
      </x:c>
      <x:c r="E246" s="24" t="str">
        <x:v>Implementation</x:v>
      </x:c>
      <x:c r="F246" s="24" t="str">
        <x:v>Docs</x:v>
      </x:c>
      <x:c r="G246" s="24" t="str">
        <x:v>Final architecture diagram, ERD, business workflow diagram, API docs, deployment instructions and decision log.</x:v>
      </x:c>
      <x:c r="H246" s="24" t="str">
        <x:v>M00-M22</x:v>
      </x:c>
      <x:c r="I246" s="24" t="str"/>
      <x:c r="J246" s="24" t="str">
        <x:v>☐</x:v>
      </x:c>
      <x:c r="K246" s="24" t="str"/>
      <x:c r="L246" s="24"/>
    </x:row>
    <x:row r="247" ht="26.399999618530273" hidden="0" customHeight="1">
      <x:c r="A247" s="24" t="str">
        <x:v>M23</x:v>
      </x:c>
      <x:c r="B247" s="24" t="str">
        <x:v>Final Architecture Audit, Release &amp; Internship Story</x:v>
      </x:c>
      <x:c r="C247" s="24" t="str">
        <x:v>Phase D - Portfolio-grade operations</x:v>
      </x:c>
      <x:c r="D247" s="24" t="str">
        <x:v>P2</x:v>
      </x:c>
      <x:c r="E247" s="24" t="str">
        <x:v>Implementation</x:v>
      </x:c>
      <x:c r="F247" s="24" t="str">
        <x:v>Release</x:v>
      </x:c>
      <x:c r="G247" s="24" t="str">
        <x:v>Tag a stable release (e.g. `v2.0-portfolio` or semantic version chosen at that time) and write release notes separating hackathon MVP from independent extensions.</x:v>
      </x:c>
      <x:c r="H247" s="24" t="str">
        <x:v>M00-M22</x:v>
      </x:c>
      <x:c r="I247" s="24" t="str"/>
      <x:c r="J247" s="24" t="str">
        <x:v>☐</x:v>
      </x:c>
      <x:c r="K247" s="24" t="str"/>
      <x:c r="L247" s="24"/>
    </x:row>
    <x:row r="248" ht="39.599998474121094" hidden="0" customHeight="1">
      <x:c r="A248" s="24" t="str">
        <x:v>M23</x:v>
      </x:c>
      <x:c r="B248" s="24" t="str">
        <x:v>Final Architecture Audit, Release &amp; Internship Story</x:v>
      </x:c>
      <x:c r="C248" s="24" t="str">
        <x:v>Phase D - Portfolio-grade operations</x:v>
      </x:c>
      <x:c r="D248" s="24" t="str">
        <x:v>P2</x:v>
      </x:c>
      <x:c r="E248" s="24" t="str">
        <x:v>Implementation</x:v>
      </x:c>
      <x:c r="F248" s="24" t="str">
        <x:v>Demo</x:v>
      </x:c>
      <x:c r="G248" s="24" t="str">
        <x:v>Prepare a 5-8 minute role-switch demo and 2-3 deeper engineering stories: concurrency/locking, immutable financial snapshots/idempotency, and a business-workflow redesign such as candidate acceptance or invoice lifecycle.</x:v>
      </x:c>
      <x:c r="H248" s="24" t="str">
        <x:v>M00-M22</x:v>
      </x:c>
      <x:c r="I248" s="24" t="str"/>
      <x:c r="J248" s="24" t="str">
        <x:v>☐</x:v>
      </x:c>
      <x:c r="K248" s="24" t="str"/>
      <x:c r="L248" s="24"/>
    </x:row>
    <x:row r="249" ht="26.399999618530273" hidden="0" customHeight="1">
      <x:c r="A249" s="24" t="str">
        <x:v>M23</x:v>
      </x:c>
      <x:c r="B249" s="24" t="str">
        <x:v>Final Architecture Audit, Release &amp; Internship Story</x:v>
      </x:c>
      <x:c r="C249" s="24" t="str">
        <x:v>Phase D - Portfolio-grade operations</x:v>
      </x:c>
      <x:c r="D249" s="24" t="str">
        <x:v>P2</x:v>
      </x:c>
      <x:c r="E249" s="24" t="str">
        <x:v>Implementation</x:v>
      </x:c>
      <x:c r="F249" s="24" t="str">
        <x:v>Resume/interview</x:v>
      </x:c>
      <x:c r="G249" s="24" t="str">
        <x:v>Describe truthfully: initial MVP built in Workday hackathon; independently audited, hardened and extended after the event.</x:v>
      </x:c>
      <x:c r="H249" s="24" t="str">
        <x:v>M00-M22</x:v>
      </x:c>
      <x:c r="I249" s="24" t="str"/>
      <x:c r="J249" s="24" t="str">
        <x:v>☐</x:v>
      </x:c>
      <x:c r="K249" s="24" t="str"/>
      <x:c r="L249" s="24"/>
    </x:row>
    <x:row r="250" ht="26.399999618530273" hidden="0" customHeight="1">
      <x:c r="A250" s="24" t="str">
        <x:v>M23</x:v>
      </x:c>
      <x:c r="B250" s="24" t="str">
        <x:v>Final Architecture Audit, Release &amp; Internship Story</x:v>
      </x:c>
      <x:c r="C250" s="24" t="str">
        <x:v>Phase D - Portfolio-grade operations</x:v>
      </x:c>
      <x:c r="D250" s="24" t="str">
        <x:v>P2</x:v>
      </x:c>
      <x:c r="E250" s="24" t="str">
        <x:v>Acceptance</x:v>
      </x:c>
      <x:c r="F250" s="24" t="str">
        <x:v>Acceptance Criteria</x:v>
      </x:c>
      <x:c r="G250" s="24" t="str">
        <x:v>All critical workflows have automated + manual E2E coverage.</x:v>
      </x:c>
      <x:c r="H250" s="24" t="str">
        <x:v>M00-M22</x:v>
      </x:c>
      <x:c r="I250" s="24" t="str"/>
      <x:c r="J250" s="24" t="str">
        <x:v>☐</x:v>
      </x:c>
      <x:c r="K250" s="24" t="str"/>
      <x:c r="L250" s="24"/>
    </x:row>
    <x:row r="251" ht="26.399999618530273" hidden="0" customHeight="1">
      <x:c r="A251" s="24" t="str">
        <x:v>M23</x:v>
      </x:c>
      <x:c r="B251" s="24" t="str">
        <x:v>Final Architecture Audit, Release &amp; Internship Story</x:v>
      </x:c>
      <x:c r="C251" s="24" t="str">
        <x:v>Phase D - Portfolio-grade operations</x:v>
      </x:c>
      <x:c r="D251" s="24" t="str">
        <x:v>P2</x:v>
      </x:c>
      <x:c r="E251" s="24" t="str">
        <x:v>Acceptance</x:v>
      </x:c>
      <x:c r="F251" s="24" t="str">
        <x:v>Acceptance Criteria</x:v>
      </x:c>
      <x:c r="G251" s="24" t="str">
        <x:v>Documentation and demo match actual code.</x:v>
      </x:c>
      <x:c r="H251" s="24" t="str">
        <x:v>M00-M22</x:v>
      </x:c>
      <x:c r="I251" s="24" t="str"/>
      <x:c r="J251" s="24" t="str">
        <x:v>☐</x:v>
      </x:c>
      <x:c r="K251" s="24" t="str"/>
      <x:c r="L251" s="24"/>
    </x:row>
    <x:row r="252" ht="26.399999618530273" hidden="0" customHeight="1">
      <x:c r="A252" s="24" t="str">
        <x:v>M23</x:v>
      </x:c>
      <x:c r="B252" s="24" t="str">
        <x:v>Final Architecture Audit, Release &amp; Internship Story</x:v>
      </x:c>
      <x:c r="C252" s="24" t="str">
        <x:v>Phase D - Portfolio-grade operations</x:v>
      </x:c>
      <x:c r="D252" s="24" t="str">
        <x:v>P2</x:v>
      </x:c>
      <x:c r="E252" s="24" t="str">
        <x:v>Acceptance</x:v>
      </x:c>
      <x:c r="F252" s="24" t="str">
        <x:v>Acceptance Criteria</x:v>
      </x:c>
      <x:c r="G252" s="24" t="str">
        <x:v>You can explain why each major change exists and what invariant protects it.</x:v>
      </x:c>
      <x:c r="H252" s="24" t="str">
        <x:v>M00-M22</x:v>
      </x:c>
      <x:c r="I252" s="24" t="str"/>
      <x:c r="J252" s="24" t="str">
        <x:v>☐</x:v>
      </x:c>
      <x:c r="K252" s="24" t="str"/>
      <x:c r="L252" s="24"/>
    </x:row>
  </x:sheetData>
  <x:mergeCells>
    <x:mergeCell ref="A1:L1"/>
  </x:mergeCells>
  <x:conditionalFormatting sqref="J8:J252">
    <x:cfRule type="expression" dxfId="1" priority="1">
      <x:formula>J8="☑"</x:formula>
    </x:cfRule>
  </x:conditionalFormatting>
  <x:conditionalFormatting sqref="D8:D252">
    <x:cfRule type="expression" dxfId="2" priority="2">
      <x:formula>D8="P0"</x:formula>
    </x:cfRule>
    <x:cfRule type="expression" dxfId="3" priority="3">
      <x:formula>D8="P1"</x:formula>
    </x:cfRule>
  </x:conditionalFormatting>
  <x:conditionalFormatting sqref="E8:E252">
    <x:cfRule type="expression" dxfId="4" priority="4">
      <x:formula>E8="Acceptance"</x:formula>
    </x:cfRule>
  </x:conditionalFormatting>
  <x:dataValidations count="1">
    <x:dataValidation type="list" sqref="J8:J252">
      <x:formula1>"☐,☑"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22" hidden="0" customWidth="1"/>
    <x:col min="4" max="4" width="70" hidden="0" customWidth="1"/>
    <x:col min="5" max="5" width="12" hidden="0" customWidth="1"/>
  </x:cols>
  <x:sheetData>
    <x:row r="1">
      <x:c r="A1" s="29" t="str">
        <x:v>Module Dependency Map</x:v>
      </x:c>
      <x:c r="B1" s="29"/>
      <x:c r="C1" s="29"/>
      <x:c r="D1" s="29"/>
      <x:c r="E1" s="29"/>
    </x:row>
    <x:row r="3" ht="15" hidden="0" customHeight="1">
      <x:c r="A3" s="32" t="str">
        <x:v>Module ID</x:v>
      </x:c>
      <x:c r="B3" s="32" t="str">
        <x:v>Module</x:v>
      </x:c>
      <x:c r="C3" s="32" t="str">
        <x:v>Depends On</x:v>
      </x:c>
      <x:c r="D3" s="32" t="str">
        <x:v>Why dependency matters</x:v>
      </x:c>
      <x:c r="E3" s="32" t="str">
        <x:v>Ready?</x:v>
      </x:c>
    </x:row>
    <x:row r="4" ht="15" hidden="0" customHeight="1">
      <x:c r="A4" s="24" t="str">
        <x:v>M00</x:v>
      </x:c>
      <x:c r="B4" s="24" t="str">
        <x:v>Freeze Hackathon Baseline &amp; Repository Governance</x:v>
      </x:c>
      <x:c r="C4" s="24" t="str">
        <x:v>None</x:v>
      </x:c>
      <x:c r="D4" s="24" t="str">
        <x:v>Baseline / no dependency.</x:v>
      </x:c>
      <x:c r="E4" s="24" t="str"/>
    </x:row>
    <x:row r="5" ht="15" hidden="0" customHeight="1">
      <x:c r="A5" s="24" t="str">
        <x:v>M01</x:v>
      </x:c>
      <x:c r="B5" s="24" t="str">
        <x:v>Automated Regression Suite &amp; CI</x:v>
      </x:c>
      <x:c r="C5" s="24" t="str">
        <x:v>M00</x:v>
      </x:c>
      <x:c r="D5" s="24" t="str">
        <x:v>Protect later changes before refactoring business logic.</x:v>
      </x:c>
      <x:c r="E5" s="24" t="str"/>
    </x:row>
    <x:row r="6" ht="26.399999618530273" hidden="0" customHeight="1">
      <x:c r="A6" s="24" t="str">
        <x:v>M02</x:v>
      </x:c>
      <x:c r="B6" s="24" t="str">
        <x:v>Authentication, Session &amp; Account Security Hardening</x:v>
      </x:c>
      <x:c r="C6" s="24" t="str">
        <x:v>M01</x:v>
      </x:c>
      <x:c r="D6" s="24" t="str">
        <x:v>Security changes should be regression-tested first.</x:v>
      </x:c>
      <x:c r="E6" s="24" t="str"/>
    </x:row>
    <x:row r="7" ht="26.399999618530273" hidden="0" customHeight="1">
      <x:c r="A7" s="24" t="str">
        <x:v>M03</x:v>
      </x:c>
      <x:c r="B7" s="24" t="str">
        <x:v>Structured Logging, Error Contracts &amp; Operational Health</x:v>
      </x:c>
      <x:c r="C7" s="24" t="str">
        <x:v>M01</x:v>
      </x:c>
      <x:c r="D7" s="24" t="str">
        <x:v>Operational diagnostics depend on a stable test baseline.</x:v>
      </x:c>
      <x:c r="E7" s="24" t="str"/>
    </x:row>
    <x:row r="8" ht="15" hidden="0" customHeight="1">
      <x:c r="A8" s="24" t="str">
        <x:v>M04</x:v>
      </x:c>
      <x:c r="B8" s="24" t="str">
        <x:v>Transactional Audit Logging Foundation</x:v>
      </x:c>
      <x:c r="C8" s="24" t="str">
        <x:v>M01,M03</x:v>
      </x:c>
      <x:c r="D8" s="24" t="str">
        <x:v>Audit should use request/error context and be present before new workflows.</x:v>
      </x:c>
      <x:c r="E8" s="24" t="str"/>
    </x:row>
    <x:row r="9" ht="15" hidden="0" customHeight="1">
      <x:c r="A9" s="24" t="str">
        <x:v>M05</x:v>
      </x:c>
      <x:c r="B9" s="24" t="str">
        <x:v>API Scalability, Search/Filtering &amp; API Documentation</x:v>
      </x:c>
      <x:c r="C9" s="24" t="str">
        <x:v>M01,M03</x:v>
      </x:c>
      <x:c r="D9" s="24" t="str">
        <x:v>Pagination/docs need stable errors and tests.</x:v>
      </x:c>
      <x:c r="E9" s="24" t="str"/>
    </x:row>
    <x:row r="10" ht="15" hidden="0" customHeight="1">
      <x:c r="A10" s="24" t="str">
        <x:v>M06</x:v>
      </x:c>
      <x:c r="B10" s="24" t="str">
        <x:v>Timesheet Workflow Completion</x:v>
      </x:c>
      <x:c r="C10" s="24" t="str">
        <x:v>M01,M04,M05</x:v>
      </x:c>
      <x:c r="D10" s="24" t="str">
        <x:v>Timesheet changes should be tested and auditable.</x:v>
      </x:c>
      <x:c r="E10" s="24" t="str"/>
    </x:row>
    <x:row r="11" ht="15" hidden="0" customHeight="1">
      <x:c r="A11" s="24" t="str">
        <x:v>M07</x:v>
      </x:c>
      <x:c r="B11" s="24" t="str">
        <x:v>Contractor Profile &amp; Multi-Skill Model</x:v>
      </x:c>
      <x:c r="C11" s="24" t="str">
        <x:v>M01,M05</x:v>
      </x:c>
      <x:c r="D11" s="24" t="str">
        <x:v>Skill migration needs tests and paginated/filterable list foundations.</x:v>
      </x:c>
      <x:c r="E11" s="24" t="str"/>
    </x:row>
    <x:row r="12" ht="26.399999618530273" hidden="0" customHeight="1">
      <x:c r="A12" s="24" t="str">
        <x:v>M08</x:v>
      </x:c>
      <x:c r="B12" s="24" t="str">
        <x:v>Contractor Document Verification &amp; Compliance Gate</x:v>
      </x:c>
      <x:c r="C12" s="24" t="str">
        <x:v>M04,M07</x:v>
      </x:c>
      <x:c r="D12" s="24" t="str">
        <x:v>Compliance depends on a richer contractor/skill profile and audit trail.</x:v>
      </x:c>
      <x:c r="E12" s="24" t="str"/>
    </x:row>
    <x:row r="13" ht="26.399999618530273" hidden="0" customHeight="1">
      <x:c r="A13" s="24" t="str">
        <x:v>M09</x:v>
      </x:c>
      <x:c r="B13" s="24" t="str">
        <x:v>Client Management, Vendor-Client Relationships &amp; Project Visibility</x:v>
      </x:c>
      <x:c r="C13" s="24" t="str">
        <x:v>M02,M04,M05</x:v>
      </x:c>
      <x:c r="D13" s="24" t="str">
        <x:v>Client/project tenancy depends on hardened auth, audit and query scoping.</x:v>
      </x:c>
      <x:c r="E13" s="24" t="str"/>
    </x:row>
    <x:row r="14" ht="15" hidden="0" customHeight="1">
      <x:c r="A14" s="24" t="str">
        <x:v>M10</x:v>
      </x:c>
      <x:c r="B14" s="24" t="str">
        <x:v>Project, Requirement, Budget &amp; Time-Policy Lifecycle</x:v>
      </x:c>
      <x:c r="C14" s="24" t="str">
        <x:v>M04,M09</x:v>
      </x:c>
      <x:c r="D14" s="24" t="str">
        <x:v>Project lifecycle builds on explicit client/vendor access.</x:v>
      </x:c>
      <x:c r="E14" s="24" t="str"/>
    </x:row>
    <x:row r="15" ht="26.399999618530273" hidden="0" customHeight="1">
      <x:c r="A15" s="24" t="str">
        <x:v>M11</x:v>
      </x:c>
      <x:c r="B15" s="24" t="str">
        <x:v>Contractor Availability &amp; Date-Based Assignment Lifecycle</x:v>
      </x:c>
      <x:c r="C15" s="24" t="str">
        <x:v>M07,M08,M10</x:v>
      </x:c>
      <x:c r="D15" s="24" t="str">
        <x:v>Assignment eligibility depends on skills, compliance and project lifecycle.</x:v>
      </x:c>
      <x:c r="E15" s="24" t="str"/>
    </x:row>
    <x:row r="16" ht="15" hidden="0" customHeight="1">
      <x:c r="A16" s="24" t="str">
        <x:v>M12</x:v>
      </x:c>
      <x:c r="B16" s="24" t="str">
        <x:v>Candidate Submission -&gt; PM Acceptance Workflow</x:v>
      </x:c>
      <x:c r="C16" s="24" t="str">
        <x:v>M09,M11</x:v>
      </x:c>
      <x:c r="D16" s="24" t="str">
        <x:v>Candidate acceptance must revalidate authorized project access and date availability.</x:v>
      </x:c>
      <x:c r="E16" s="24" t="str"/>
    </x:row>
    <x:row r="17" ht="15" hidden="0" customHeight="1">
      <x:c r="A17" s="24" t="str">
        <x:v>M13</x:v>
      </x:c>
      <x:c r="B17" s="24" t="str">
        <x:v>Staffing Pipeline, Approval SLA &amp; Escalation</x:v>
      </x:c>
      <x:c r="C17" s="24" t="str">
        <x:v>M12,M10</x:v>
      </x:c>
      <x:c r="D17" s="24" t="str">
        <x:v>Pipeline/SLA derives from candidate submissions and project policy.</x:v>
      </x:c>
      <x:c r="E17" s="24" t="str"/>
    </x:row>
    <x:row r="18" ht="15" hidden="0" customHeight="1">
      <x:c r="A18" s="24" t="str">
        <x:v>M14</x:v>
      </x:c>
      <x:c r="B18" s="24" t="str">
        <x:v>In-App Notifications &amp; Preferences</x:v>
      </x:c>
      <x:c r="C18" s="24" t="str">
        <x:v>M06,M12,M13</x:v>
      </x:c>
      <x:c r="D18" s="24" t="str">
        <x:v>Notifications hook into completed workflow transitions.</x:v>
      </x:c>
      <x:c r="E18" s="24" t="str"/>
    </x:row>
    <x:row r="19" ht="26.399999618530273" hidden="0" customHeight="1">
      <x:c r="A19" s="24" t="str">
        <x:v>M15</x:v>
      </x:c>
      <x:c r="B19" s="24" t="str">
        <x:v>Rate Cards, Assignment Rate Snapshots &amp; Rate History</x:v>
      </x:c>
      <x:c r="C19" s="24" t="str">
        <x:v>M09,M11</x:v>
      </x:c>
      <x:c r="D19" s="24" t="str">
        <x:v>Rate cards depend on client/vendor relationships and assignment dates.</x:v>
      </x:c>
      <x:c r="E19" s="24" t="str"/>
    </x:row>
    <x:row r="20" ht="15" hidden="0" customHeight="1">
      <x:c r="A20" s="24" t="str">
        <x:v>M16</x:v>
      </x:c>
      <x:c r="B20" s="24" t="str">
        <x:v>Milestone Management Enhancement</x:v>
      </x:c>
      <x:c r="C20" s="24" t="str">
        <x:v>M06,M10,M15</x:v>
      </x:c>
      <x:c r="D20" s="24" t="str">
        <x:v>Milestone billing needs stable time/project/rate foundations.</x:v>
      </x:c>
      <x:c r="E20" s="24" t="str"/>
    </x:row>
    <x:row r="21" ht="26.399999618530273" hidden="0" customHeight="1">
      <x:c r="A21" s="24" t="str">
        <x:v>M17</x:v>
      </x:c>
      <x:c r="B21" s="24" t="str">
        <x:v>Invoice Lifecycle Redesign: Billing Queue -&gt; Vendor Draft -&gt; Client Approval</x:v>
      </x:c>
      <x:c r="C21" s="24" t="str">
        <x:v>M09,M15,M16,M01</x:v>
      </x:c>
      <x:c r="D21" s="24" t="str">
        <x:v>Invoice redesign consumes immutable milestone billings and agreed rates.</x:v>
      </x:c>
      <x:c r="E21" s="24" t="str"/>
    </x:row>
    <x:row r="22" ht="15" hidden="0" customHeight="1">
      <x:c r="A22" s="24" t="str">
        <x:v>M18</x:v>
      </x:c>
      <x:c r="B22" s="24" t="str">
        <x:v>Invoice Numbers, Line Items, Tax &amp; PDF Document</x:v>
      </x:c>
      <x:c r="C22" s="24" t="str">
        <x:v>M17</x:v>
      </x:c>
      <x:c r="D22" s="24" t="str">
        <x:v>Business invoice document depends on the final invoice header/items model.</x:v>
      </x:c>
      <x:c r="E22" s="24" t="str"/>
    </x:row>
    <x:row r="23" ht="15" hidden="0" customHeight="1">
      <x:c r="A23" s="24" t="str">
        <x:v>M19</x:v>
      </x:c>
      <x:c r="B23" s="24" t="str">
        <x:v>Payment &amp; Outstanding Tracking</x:v>
      </x:c>
      <x:c r="C23" s="24" t="str">
        <x:v>M17,M18</x:v>
      </x:c>
      <x:c r="D23" s="24" t="str">
        <x:v>Payment exists only after approved invoices and due dates.</x:v>
      </x:c>
      <x:c r="E23" s="24" t="str"/>
    </x:row>
    <x:row r="24" ht="15" hidden="0" customHeight="1">
      <x:c r="A24" s="24" t="str">
        <x:v>M20</x:v>
      </x:c>
      <x:c r="B24" s="24" t="str">
        <x:v>Business Dashboards, Financial Health &amp; CSV Exports</x:v>
      </x:c>
      <x:c r="C24" s="24" t="str">
        <x:v>M05,M10,M13,M15,M19</x:v>
      </x:c>
      <x:c r="D24" s="24" t="str">
        <x:v>Financial dashboards/export depend on authoritative budget/rates/invoice/payment facts.</x:v>
      </x:c>
      <x:c r="E24" s="24" t="str"/>
    </x:row>
    <x:row r="25" ht="26.399999618530273" hidden="0" customHeight="1">
      <x:c r="A25" s="24" t="str">
        <x:v>M21</x:v>
      </x:c>
      <x:c r="B25" s="24" t="str">
        <x:v>Contractor Offboarding, History &amp; Project Close Safeguards</x:v>
      </x:c>
      <x:c r="C25" s="24" t="str">
        <x:v>M11,M19,M04</x:v>
      </x:c>
      <x:c r="D25" s="24" t="str">
        <x:v>Offboarding must account for assignments, audit and unresolved financial records.</x:v>
      </x:c>
      <x:c r="E25" s="24" t="str"/>
    </x:row>
    <x:row r="26" ht="26.399999618530273" hidden="0" customHeight="1">
      <x:c r="A26" s="24" t="str">
        <x:v>M22</x:v>
      </x:c>
      <x:c r="B26" s="24" t="str">
        <x:v>Production Deployment, Backup, Security &amp; Demo Environment</x:v>
      </x:c>
      <x:c r="C26" s="24" t="str">
        <x:v>M01,M02,M03,M20</x:v>
      </x:c>
      <x:c r="D26" s="24" t="str">
        <x:v>Deployment comes after core security/observability/reporting are stable.</x:v>
      </x:c>
      <x:c r="E26" s="24" t="str"/>
    </x:row>
    <x:row r="27" ht="15" hidden="0" customHeight="1">
      <x:c r="A27" s="24" t="str">
        <x:v>M23</x:v>
      </x:c>
      <x:c r="B27" s="24" t="str">
        <x:v>Final Architecture Audit, Release &amp; Internship Story</x:v>
      </x:c>
      <x:c r="C27" s="24" t="str">
        <x:v>M00-M22</x:v>
      </x:c>
      <x:c r="D27" s="24" t="str">
        <x:v>Final audit/release validates the entire completed roadmap.</x:v>
      </x:c>
      <x:c r="E27" s="24" t="str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85" hidden="0" customWidth="1"/>
    <x:col min="4" max="4" width="10" hidden="0" customWidth="1"/>
  </x:cols>
  <x:sheetData>
    <x:row r="1">
      <x:c r="A1" s="29" t="str">
        <x:v>Suggested Release Milestones</x:v>
      </x:c>
      <x:c r="B1" s="29"/>
      <x:c r="C1" s="29"/>
      <x:c r="D1" s="29"/>
    </x:row>
    <x:row r="3" ht="15" hidden="0" customHeight="1">
      <x:c r="A3" s="32" t="str">
        <x:v>Release</x:v>
      </x:c>
      <x:c r="B3" s="32" t="str">
        <x:v>Modules</x:v>
      </x:c>
      <x:c r="C3" s="32" t="str">
        <x:v>Meaning</x:v>
      </x:c>
      <x:c r="D3" s="32" t="str">
        <x:v>Done</x:v>
      </x:c>
    </x:row>
    <x:row r="4" ht="15" hidden="0" customHeight="1">
      <x:c r="A4" s="24" t="str">
        <x:v>R0 / v1.0-hackathon</x:v>
      </x:c>
      <x:c r="B4" s="24" t="str">
        <x:v>M00</x:v>
      </x:c>
      <x:c r="C4" s="24" t="str">
        <x:v>Frozen historical baseline of the two-day submission.</x:v>
      </x:c>
      <x:c r="D4" s="24" t="str">
        <x:v>☑</x:v>
      </x:c>
    </x:row>
    <x:row r="5" ht="15" hidden="0" customHeight="1">
      <x:c r="A5" s="24" t="str">
        <x:v>R1 / v1.1-foundation</x:v>
      </x:c>
      <x:c r="B5" s="24" t="str">
        <x:v>M01-M05</x:v>
      </x:c>
      <x:c r="C5" s="24" t="str">
        <x:v>Tests, CI, security, logs, audit foundation, pagination and API docs.</x:v>
      </x:c>
      <x:c r="D5" s="24" t="str">
        <x:v>☐</x:v>
      </x:c>
    </x:row>
    <x:row r="6" ht="26.399999618530273" hidden="0" customHeight="1">
      <x:c r="A6" s="24" t="str">
        <x:v>R2 / v2.0-workforce</x:v>
      </x:c>
      <x:c r="B6" s="24" t="str">
        <x:v>M06-M14</x:v>
      </x:c>
      <x:c r="C6" s="24" t="str">
        <x:v>Complete time workflow, multi-skill/compliance, client/vendor scope, project/assignment lifecycle, candidate pipeline, SLA and notifications.</x:v>
      </x:c>
      <x:c r="D6" s="24" t="str">
        <x:v>☐</x:v>
      </x:c>
    </x:row>
    <x:row r="7" ht="26.399999618530273" hidden="0" customHeight="1">
      <x:c r="A7" s="24" t="str">
        <x:v>R3 / v3.0-commercial</x:v>
      </x:c>
      <x:c r="B7" s="24" t="str">
        <x:v>M15-M20</x:v>
      </x:c>
      <x:c r="C7" s="24" t="str">
        <x:v>Rate cards, milestone metadata, correct invoice lifecycle, real invoice documents, payment tracking, financial dashboards and exports.</x:v>
      </x:c>
      <x:c r="D7" s="24" t="str">
        <x:v>☐</x:v>
      </x:c>
    </x:row>
    <x:row r="8" ht="15" hidden="0" customHeight="1">
      <x:c r="A8" s="24" t="str">
        <x:v>R4 / v4.0-portfolio</x:v>
      </x:c>
      <x:c r="B8" s="24" t="str">
        <x:v>M21-M23</x:v>
      </x:c>
      <x:c r="C8" s="24" t="str">
        <x:v>Offboarding, deployment, recovery, end-to-end validation and internship-ready release.</x:v>
      </x:c>
      <x:c r="D8" s="24" t="str">
        <x:v>☐</x:v>
      </x:c>
    </x:row>
  </x:sheetData>
  <x:mergeCells>
    <x:mergeCell ref="A1:D1"/>
  </x:mergeCells>
  <x:conditionalFormatting sqref="D4:D8">
    <x:cfRule type="expression" dxfId="5" priority="1">
      <x:formula>D4="☑"</x:formula>
    </x:cfRule>
  </x:conditionalFormatting>
  <x:dataValidations count="1">
    <x:dataValidation type="list" sqref="D4:D8">
      <x:formula1>"☐,☑"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29" t="str">
        <x:v>How to Use This Tracker</x:v>
      </x:c>
      <x:c r="B1" s="29"/>
    </x:row>
    <x:row r="3" ht="15" hidden="0" customHeight="1">
      <x:c r="A3" s="32" t="str">
        <x:v>Item</x:v>
      </x:c>
      <x:c r="B3" s="32" t="str">
        <x:v>Meaning</x:v>
      </x:c>
    </x:row>
    <x:row r="4" ht="15" hidden="0" customHeight="1">
      <x:c r="A4" s="24" t="str">
        <x:v>Checkbox cells</x:v>
      </x:c>
      <x:c r="B4" s="24" t="str">
        <x:v>Click the dropdown in Done/Module Done and switch ☐ to ☑ when completed.</x:v>
      </x:c>
    </x:row>
    <x:row r="5" ht="15" hidden="0" customHeight="1">
      <x:c r="A5" s="24" t="str">
        <x:v>Roadmap completion</x:v>
      </x:c>
      <x:c r="B5" s="24" t="str">
        <x:v>Calculated automatically from completed Detailed Checklist rows for that module.</x:v>
      </x:c>
    </x:row>
    <x:row r="6" ht="15" hidden="0" customHeight="1">
      <x:c r="A6" s="24" t="str">
        <x:v>P0</x:v>
      </x:c>
      <x:c r="B6" s="24" t="str">
        <x:v>Foundation / safety work that should be completed before major business expansion.</x:v>
      </x:c>
    </x:row>
    <x:row r="7" ht="15" hidden="0" customHeight="1">
      <x:c r="A7" s="24" t="str">
        <x:v>P1</x:v>
      </x:c>
      <x:c r="B7" s="24" t="str">
        <x:v>Core workforce or commercial capability with direct product value.</x:v>
      </x:c>
    </x:row>
    <x:row r="8" ht="15" hidden="0" customHeight="1">
      <x:c r="A8" s="24" t="str">
        <x:v>P2</x:v>
      </x:c>
      <x:c r="B8" s="24" t="str">
        <x:v>Operational/portfolio maturity after the core lifecycle is stable.</x:v>
      </x:c>
    </x:row>
    <x:row r="9" ht="15" hidden="0" customHeight="1">
      <x:c r="A9" s="24" t="str">
        <x:v>Module exit rule</x:v>
      </x:c>
      <x:c r="B9" s="24" t="str">
        <x:v>Implement -&gt; manual E2E -&gt; audit -&gt; automated tests -&gt; docs -&gt; commit/push -&gt; next module.</x:v>
      </x:c>
    </x:row>
    <x:row r="10" ht="15" hidden="0" customHeight="1">
      <x:c r="A10" s="24" t="str">
        <x:v>Scope discipline</x:v>
      </x:c>
      <x:c r="B10" s="24" t="str">
        <x:v>Do not add AI screening, payroll, HRMS, generic CRM, bank/payment gateway, microservices or Kubernetes in this roadmap.</x:v>
      </x:c>
    </x:row>
  </x:sheetData>
  <x:mergeCells>
    <x:mergeCell ref="A1:B1"/>
  </x:mergeCells>
  <x:pageMargins left="0.7" right="0.7" top="0.75" bottom="0.75" header="0.3" footer="0.3"/>
</x:worksheet>
</file>