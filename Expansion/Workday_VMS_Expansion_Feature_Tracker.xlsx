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cd66b6eae14d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f5f89d5c0b524967"/>
    <x:sheet xmlns:r="http://schemas.openxmlformats.org/officeDocument/2006/relationships" name="Checklist" sheetId="2" r:id="Rd32dc1ab93024191"/>
    <x:sheet xmlns:r="http://schemas.openxmlformats.org/officeDocument/2006/relationships" name="Dependencies" sheetId="3" r:id="R438ae1e0ebdb4105"/>
    <x:sheet xmlns:r="http://schemas.openxmlformats.org/officeDocument/2006/relationships" name="Releases" sheetId="4" r:id="Rab4ee93af44d4c91"/>
    <x:sheet xmlns:r="http://schemas.openxmlformats.org/officeDocument/2006/relationships" name="Legend" sheetId="5" r:id="R9c95f6091f0740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c02490157d43c6" /><Relationship Type="http://schemas.openxmlformats.org/officeDocument/2006/relationships/theme" Target="/xl/theme/theme1.xml" Id="Raeddfe936ab547cd" /><Relationship Type="http://schemas.openxmlformats.org/officeDocument/2006/relationships/sharedStrings" Target="/xl/sharedStrings.xml" Id="R7bb3bb97ab6541ba" /><Relationship Type="http://schemas.openxmlformats.org/officeDocument/2006/relationships/worksheet" Target="/xl/worksheets/sheet1.xml" Id="Rf5f89d5c0b524967" /><Relationship Type="http://schemas.openxmlformats.org/officeDocument/2006/relationships/worksheet" Target="/xl/worksheets/sheet2.xml" Id="Rd32dc1ab93024191" /><Relationship Type="http://schemas.openxmlformats.org/officeDocument/2006/relationships/worksheet" Target="/xl/worksheets/sheet3.xml" Id="R438ae1e0ebdb4105" /><Relationship Type="http://schemas.openxmlformats.org/officeDocument/2006/relationships/worksheet" Target="/xl/worksheets/sheet4.xml" Id="Rab4ee93af44d4c91" /><Relationship Type="http://schemas.openxmlformats.org/officeDocument/2006/relationships/worksheet" Target="/xl/worksheets/sheet5.xml" Id="R9c95f6091f0740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0.2886178861788618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0</x:v>
      </x:c>
      <x:c r="I16" s="24" t="str">
        <x:v>☐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0</x:v>
      </x:c>
      <x:c r="I17" s="24" t="str">
        <x:v>☐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0</x:v>
      </x:c>
      <x:c r="I18" s="24" t="str">
        <x:v>☐</x:v>
      </x:c>
      <x:c r="J18" s="24" t="str"/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0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f>IFERROR(COUNTIFS(Checklist!$A$2:$A$400,A20,Checklist!$J$2:$J$400,"☑")/COUNTIF(Checklist!$A$2:$A$400,A20),0)</x:f>
        <x:v>0</x:v>
      </x:c>
      <x:c r="I20" s="24" t="str">
        <x:v>☐</x:v>
      </x:c>
      <x:c r="J20" s="24" t="str"/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f>IFERROR(COUNTIFS(Checklist!$A$2:$A$400,A21,Checklist!$J$2:$J$400,"☑")/COUNTIF(Checklist!$A$2:$A$400,A21),0)</x:f>
        <x:v>0</x:v>
      </x:c>
      <x:c r="I21" s="24" t="str">
        <x:v>☐</x:v>
      </x:c>
      <x:c r="J21" s="24" t="str"/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f>IFERROR(COUNTIFS(Checklist!$A$2:$A$400,A22,Checklist!$J$2:$J$400,"☑")/COUNTIF(Checklist!$A$2:$A$400,A22),0)</x:f>
        <x:v>0</x:v>
      </x:c>
      <x:c r="I22" s="24" t="str">
        <x:v>☐</x:v>
      </x:c>
      <x:c r="J22" s="24" t="str"/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f>IFERROR(COUNTIFS(Checklist!$A$2:$A$400,A23,Checklist!$J$2:$J$400,"☑")/COUNTIF(Checklist!$A$2:$A$400,A23),0)</x:f>
        <x:v>0</x:v>
      </x:c>
      <x:c r="I23" s="24" t="str">
        <x:v>☐</x:v>
      </x:c>
      <x:c r="J23" s="24" t="str"/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f>IFERROR(COUNTIFS(Checklist!$A$2:$A$400,A24,Checklist!$J$2:$J$400,"☑")/COUNTIF(Checklist!$A$2:$A$400,A24),0)</x:f>
        <x:v>0</x:v>
      </x:c>
      <x:c r="I24" s="24" t="str">
        <x:v>☐</x:v>
      </x:c>
      <x:c r="J24" s="24" t="str"/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f>IFERROR(COUNTIFS(Checklist!$A$2:$A$400,A25,Checklist!$J$2:$J$400,"☑")/COUNTIF(Checklist!$A$2:$A$400,A25),0)</x:f>
        <x:v>0</x:v>
      </x:c>
      <x:c r="I25" s="24" t="str">
        <x:v>☐</x:v>
      </x:c>
      <x:c r="J25" s="24" t="str"/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71</x:v>
      </x:c>
      <x:c r="C4" t="str">
        <x:v>Remaining</x:v>
      </x:c>
      <x:c r="D4" t="n">
        <x:f>COUNTA(G8:G400)-COUNTIF(J8:J400,"☑")</x:f>
        <x:v>174</x:v>
      </x:c>
    </x:row>
    <x:row r="5">
      <x:c r="A5" t="str">
        <x:v>Completion</x:v>
      </x:c>
      <x:c r="B5" s="14" t="n">
        <x:f>IFERROR(B4/COUNTA(G8:G400),0)</x:f>
        <x:v>0.2897959183673469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☐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☐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☐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☐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☐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☐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☐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☐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☐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☐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☐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☐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☐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☐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☐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☐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☐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☐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☐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☐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☐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☐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☐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☐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☐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☐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☐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☐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☐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☐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☐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☐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☐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☐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☐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☐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☐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☐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☐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☐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☐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☐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☐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☐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☐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☐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☐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☐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☐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☐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☐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☐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☐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☐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☐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☐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☐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☐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☐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☐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☐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☐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☐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☐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☐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☐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☐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☐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☐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☐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☐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☐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☐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☐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☐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☐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☐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☐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☐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☐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☐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☐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☐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☐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☐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☐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☐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☐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☐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☐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☐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☐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☐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☐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☐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☐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☐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☐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☐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☐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☐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