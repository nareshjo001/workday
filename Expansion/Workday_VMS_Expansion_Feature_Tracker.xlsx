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2421061097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cc95915d4fd4b5e"/>
    <x:sheet xmlns:r="http://schemas.openxmlformats.org/officeDocument/2006/relationships" name="Checklist" sheetId="2" r:id="R6b1498aad2184f83"/>
    <x:sheet xmlns:r="http://schemas.openxmlformats.org/officeDocument/2006/relationships" name="Dependencies" sheetId="3" r:id="R5da5e29a798a497b"/>
    <x:sheet xmlns:r="http://schemas.openxmlformats.org/officeDocument/2006/relationships" name="Releases" sheetId="4" r:id="R857188139bf84c21"/>
    <x:sheet xmlns:r="http://schemas.openxmlformats.org/officeDocument/2006/relationships" name="Legend" sheetId="5" r:id="R20541007203f47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7c39aace14ca9" /><Relationship Type="http://schemas.openxmlformats.org/officeDocument/2006/relationships/theme" Target="/xl/theme/theme1.xml" Id="Rf22f65b7f29f46b5" /><Relationship Type="http://schemas.openxmlformats.org/officeDocument/2006/relationships/sharedStrings" Target="/xl/sharedStrings.xml" Id="Rf144569b55984406" /><Relationship Type="http://schemas.openxmlformats.org/officeDocument/2006/relationships/worksheet" Target="/xl/worksheets/sheet1.xml" Id="Rdcc95915d4fd4b5e" /><Relationship Type="http://schemas.openxmlformats.org/officeDocument/2006/relationships/worksheet" Target="/xl/worksheets/sheet2.xml" Id="R6b1498aad2184f83" /><Relationship Type="http://schemas.openxmlformats.org/officeDocument/2006/relationships/worksheet" Target="/xl/worksheets/sheet3.xml" Id="R5da5e29a798a497b" /><Relationship Type="http://schemas.openxmlformats.org/officeDocument/2006/relationships/worksheet" Target="/xl/worksheets/sheet4.xml" Id="R857188139bf84c21" /><Relationship Type="http://schemas.openxmlformats.org/officeDocument/2006/relationships/worksheet" Target="/xl/worksheets/sheet5.xml" Id="R20541007203f47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IFERROR(COUNTIF(Checklist!$J$8:$J$400,"☑")/COUNTA(Checklist!$G$8:$G$400),0)</x:f>
        <x:v>1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☑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☑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1</x:v>
      </x:c>
      <x:c r="I28" s="24" t="str">
        <x:v>☑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v>1</x:v>
      </x:c>
      <x:c r="I29" s="24" t="str">
        <x:v>☑</x:v>
      </x:c>
      <x:c r="J29" s="24" t="str">
        <x:v>Completed 2026-09-08: M20 dashboards, CSV exports, tests, audit and documentation.</x:v>
      </x:c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1</x:v>
      </x:c>
      <x:c r="I30" s="24" t="str">
        <x:v>☑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1</x:v>
      </x:c>
      <x:c r="I31" s="24" t="str">
        <x:v>☑</x:v>
      </x:c>
      <x:c r="J31" s="24" t="str">
        <x:v>Completed 2026-09-09: Docker demo, checksum ledger, deterministic seed, Playwright E2E, backup/restore, security review, performance smoke, and full regression verified.</x:v>
      </x:c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v>1</x:v>
      </x:c>
      <x:c r="I32" s="24" t="str">
        <x:v>☑</x:v>
      </x:c>
      <x:c r="J32" s="24" t="str">
        <x:v>Completed 2026-09-09: final architecture/security/authorization audit, financial reconciliation, release documentation, interview story, and tracker reconciliation verified.</x:v>
      </x:c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245</x:v>
      </x:c>
      <x:c r="C4" t="str">
        <x:v>Remaining</x:v>
      </x:c>
      <x:c r="D4" t="n">
        <x:f>COUNTA(G8:G400)-COUNTIF(J8:J400,"☑")</x:f>
        <x:v>0</x:v>
      </x:c>
    </x:row>
    <x:row r="5">
      <x:c r="A5" t="str">
        <x:v>Completion</x:v>
      </x:c>
      <x:c r="B5" s="14" t="n">
        <x:f>IFERROR(B4/COUNTA(G8:G400),0)</x:f>
        <x:v>1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☑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☑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☑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☑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☑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☑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☑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☑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☑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☑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☑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☑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☑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☑</x:v>
      </x:c>
      <x:c r="K213" s="24" t="str">
        <x:v>Completed 2026-09-08: dashboards, scoped exports, tests, audit and documentation verified.</x:v>
      </x:c>
      <x:c r="L213" s="24" t="str">
        <x:v>2026-09-08</x:v>
      </x:c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☑</x:v>
      </x:c>
      <x:c r="K214" s="24" t="str">
        <x:v>Completed 2026-09-08: dashboards, scoped exports, tests, audit and documentation verified.</x:v>
      </x:c>
      <x:c r="L214" s="24" t="str">
        <x:v>2026-09-08</x:v>
      </x:c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☑</x:v>
      </x:c>
      <x:c r="K215" s="24" t="str">
        <x:v>Completed 2026-09-08: dashboards, scoped exports, tests, audit and documentation verified.</x:v>
      </x:c>
      <x:c r="L215" s="24" t="str">
        <x:v>2026-09-08</x:v>
      </x:c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☑</x:v>
      </x:c>
      <x:c r="K216" s="24" t="str">
        <x:v>Completed 2026-09-08: dashboards, scoped exports, tests, audit and documentation verified.</x:v>
      </x:c>
      <x:c r="L216" s="24" t="str">
        <x:v>2026-09-08</x:v>
      </x:c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☑</x:v>
      </x:c>
      <x:c r="K217" s="24" t="str">
        <x:v>Completed 2026-09-08: dashboards, scoped exports, tests, audit and documentation verified.</x:v>
      </x:c>
      <x:c r="L217" s="24" t="str">
        <x:v>2026-09-08</x:v>
      </x:c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☑</x:v>
      </x:c>
      <x:c r="K218" s="24" t="str">
        <x:v>Completed 2026-09-08: dashboards, scoped exports, tests, audit and documentation verified.</x:v>
      </x:c>
      <x:c r="L218" s="24" t="str">
        <x:v>2026-09-08</x:v>
      </x:c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☑</x:v>
      </x:c>
      <x:c r="K219" s="24" t="str">
        <x:v>Completed 2026-09-08: dashboards, scoped exports, tests, audit and documentation verified.</x:v>
      </x:c>
      <x:c r="L219" s="24" t="str">
        <x:v>2026-09-08</x:v>
      </x:c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☑</x:v>
      </x:c>
      <x:c r="K220" s="24" t="str">
        <x:v>Completed 2026-09-08: dashboards, scoped exports, tests, audit and documentation verified.</x:v>
      </x:c>
      <x:c r="L220" s="24" t="str">
        <x:v>2026-09-08</x:v>
      </x:c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☑</x:v>
      </x:c>
      <x:c r="K221" s="24" t="str">
        <x:v>Completed 2026-09-08: dashboards, scoped exports, tests, audit and documentation verified.</x:v>
      </x:c>
      <x:c r="L221" s="24" t="str">
        <x:v>2026-09-08</x:v>
      </x:c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☑</x:v>
      </x:c>
      <x:c r="K222" s="24" t="str">
        <x:v>Completed 2026-09-08: dashboards, scoped exports, tests, audit and documentation verified.</x:v>
      </x:c>
      <x:c r="L222" s="24" t="str">
        <x:v>2026-09-08</x:v>
      </x:c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☑</x:v>
      </x:c>
      <x:c r="K223" s="24" t="str">
        <x:v>Completed 2026-09-08: dashboards, scoped exports, tests, audit and documentation verified.</x:v>
      </x:c>
      <x:c r="L223" s="24" t="str">
        <x:v>2026-09-08</x:v>
      </x:c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☑</x:v>
      </x:c>
      <x:c r="K224" s="24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☑</x:v>
      </x:c>
      <x:c r="K225" s="24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☑</x:v>
      </x:c>
      <x:c r="K226" s="24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☑</x:v>
      </x:c>
      <x:c r="K227" s="24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☑</x:v>
      </x:c>
      <x:c r="K228" s="24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☑</x:v>
      </x:c>
      <x:c r="K229" s="24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☑</x:v>
      </x:c>
      <x:c r="K230" s="24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☑</x:v>
      </x:c>
      <x:c r="K231" s="24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☑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☑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☑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☑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☑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☑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☑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☑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☑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☑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☑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☑</x:v>
      </x:c>
      <x:c r="K243" s="24" t="str">
        <x:v>Completed in M23 final audit and release-preparation pass.</x:v>
      </x:c>
      <x:c r="L243" s="24" t="str">
        <x:v>2026-09-09</x:v>
      </x:c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☑</x:v>
      </x:c>
      <x:c r="K244" s="24" t="str">
        <x:v>Completed in M23 final audit and release-preparation pass.</x:v>
      </x:c>
      <x:c r="L244" s="24" t="str">
        <x:v>2026-09-09</x:v>
      </x:c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☑</x:v>
      </x:c>
      <x:c r="K245" s="24" t="str">
        <x:v>Completed in M23 final audit and release-preparation pass.</x:v>
      </x:c>
      <x:c r="L245" s="24" t="str">
        <x:v>2026-09-09</x:v>
      </x:c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☑</x:v>
      </x:c>
      <x:c r="K246" s="24" t="str">
        <x:v>Completed in M23 final audit and release-preparation pass.</x:v>
      </x:c>
      <x:c r="L246" s="24" t="str">
        <x:v>2026-09-09</x:v>
      </x:c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☑</x:v>
      </x:c>
      <x:c r="K247" s="24" t="str">
        <x:v>Completed in M23 final audit and release-preparation pass.</x:v>
      </x:c>
      <x:c r="L247" s="24" t="str">
        <x:v>2026-09-09</x:v>
      </x:c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☑</x:v>
      </x:c>
      <x:c r="K248" s="24" t="str">
        <x:v>Completed in M23 final audit and release-preparation pass.</x:v>
      </x:c>
      <x:c r="L248" s="24" t="str">
        <x:v>2026-09-09</x:v>
      </x:c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☑</x:v>
      </x:c>
      <x:c r="K249" s="24" t="str">
        <x:v>Completed in M23 final audit and release-preparation pass.</x:v>
      </x:c>
      <x:c r="L249" s="24" t="str">
        <x:v>2026-09-09</x:v>
      </x:c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☑</x:v>
      </x:c>
      <x:c r="K250" s="24" t="str">
        <x:v>Completed in M23 final audit and release-preparation pass.</x:v>
      </x:c>
      <x:c r="L250" s="24" t="str">
        <x:v>2026-09-09</x:v>
      </x:c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☑</x:v>
      </x:c>
      <x:c r="K251" s="24" t="str">
        <x:v>Completed in M23 final audit and release-preparation pass.</x:v>
      </x:c>
      <x:c r="L251" s="24" t="str">
        <x:v>2026-09-09</x:v>
      </x:c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☑</x:v>
      </x:c>
      <x:c r="K252" s="24" t="str">
        <x:v>Completed in M23 final audit and release-preparation pass.</x:v>
      </x:c>
      <x:c r="L252" s="24" t="str">
        <x:v>2026-09-09</x:v>
      </x:c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