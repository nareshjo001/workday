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36e501fd894e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6babdf20209f4629"/>
    <x:sheet xmlns:r="http://schemas.openxmlformats.org/officeDocument/2006/relationships" name="Checklist" sheetId="2" r:id="Rc0470e9baaeb46a6"/>
    <x:sheet xmlns:r="http://schemas.openxmlformats.org/officeDocument/2006/relationships" name="Dependencies" sheetId="3" r:id="R2a7ce4a4af4541ec"/>
    <x:sheet xmlns:r="http://schemas.openxmlformats.org/officeDocument/2006/relationships" name="Releases" sheetId="4" r:id="Rad675244829a47f4"/>
    <x:sheet xmlns:r="http://schemas.openxmlformats.org/officeDocument/2006/relationships" name="Legend" sheetId="5" r:id="Rb227a1901f5946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e669a0f2554724" /><Relationship Type="http://schemas.openxmlformats.org/officeDocument/2006/relationships/theme" Target="/xl/theme/theme1.xml" Id="R8bc34bb6cf6c410e" /><Relationship Type="http://schemas.openxmlformats.org/officeDocument/2006/relationships/sharedStrings" Target="/xl/sharedStrings.xml" Id="Rd8a18fcca6664e78" /><Relationship Type="http://schemas.openxmlformats.org/officeDocument/2006/relationships/worksheet" Target="/xl/worksheets/sheet1.xml" Id="R6babdf20209f4629" /><Relationship Type="http://schemas.openxmlformats.org/officeDocument/2006/relationships/worksheet" Target="/xl/worksheets/sheet2.xml" Id="Rc0470e9baaeb46a6" /><Relationship Type="http://schemas.openxmlformats.org/officeDocument/2006/relationships/worksheet" Target="/xl/worksheets/sheet3.xml" Id="R2a7ce4a4af4541ec" /><Relationship Type="http://schemas.openxmlformats.org/officeDocument/2006/relationships/worksheet" Target="/xl/worksheets/sheet4.xml" Id="Rad675244829a47f4" /><Relationship Type="http://schemas.openxmlformats.org/officeDocument/2006/relationships/worksheet" Target="/xl/worksheets/sheet5.xml" Id="Rb227a1901f59469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0.45934959349593496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1</x:v>
      </x:c>
      <x:c r="I16" s="24" t="str">
        <x:v>☑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1</x:v>
      </x:c>
      <x:c r="I17" s="24" t="str">
        <x:v>☑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1</x:v>
      </x:c>
      <x:c r="I18" s="24" t="str">
        <x:v>☑</x:v>
      </x:c>
      <x:c r="J18" s="24" t="str">
        <x:v>Completed 2026-09-07: invitation-only existing-company membership, scoped Vendor relationships/project access, Vendor client directory/detail, audited revocation, and full regression verification.</x:v>
      </x:c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1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f>IFERROR(COUNTIFS(Checklist!$A$2:$A$400,A20,Checklist!$J$2:$J$400,"☑")/COUNTIF(Checklist!$A$2:$A$400,A20),0)</x:f>
        <x:v>0</x:v>
      </x:c>
      <x:c r="I20" s="24" t="str">
        <x:v>☐</x:v>
      </x:c>
      <x:c r="J20" s="24" t="str"/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f>IFERROR(COUNTIFS(Checklist!$A$2:$A$400,A21,Checklist!$J$2:$J$400,"☑")/COUNTIF(Checklist!$A$2:$A$400,A21),0)</x:f>
        <x:v>0</x:v>
      </x:c>
      <x:c r="I21" s="24" t="str">
        <x:v>☐</x:v>
      </x:c>
      <x:c r="J21" s="24" t="str"/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f>IFERROR(COUNTIFS(Checklist!$A$2:$A$400,A22,Checklist!$J$2:$J$400,"☑")/COUNTIF(Checklist!$A$2:$A$400,A22),0)</x:f>
        <x:v>0</x:v>
      </x:c>
      <x:c r="I22" s="24" t="str">
        <x:v>☐</x:v>
      </x:c>
      <x:c r="J22" s="24" t="str"/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f>IFERROR(COUNTIFS(Checklist!$A$2:$A$400,A23,Checklist!$J$2:$J$400,"☑")/COUNTIF(Checklist!$A$2:$A$400,A23),0)</x:f>
        <x:v>0</x:v>
      </x:c>
      <x:c r="I23" s="24" t="str">
        <x:v>☐</x:v>
      </x:c>
      <x:c r="J23" s="24" t="str"/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f>IFERROR(COUNTIFS(Checklist!$A$2:$A$400,A24,Checklist!$J$2:$J$400,"☑")/COUNTIF(Checklist!$A$2:$A$400,A24),0)</x:f>
        <x:v>0</x:v>
      </x:c>
      <x:c r="I24" s="24" t="str">
        <x:v>☐</x:v>
      </x:c>
      <x:c r="J24" s="24" t="str"/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f>IFERROR(COUNTIFS(Checklist!$A$2:$A$400,A25,Checklist!$J$2:$J$400,"☑")/COUNTIF(Checklist!$A$2:$A$400,A25),0)</x:f>
        <x:v>0</x:v>
      </x:c>
      <x:c r="I25" s="24" t="str">
        <x:v>☐</x:v>
      </x:c>
      <x:c r="J25" s="24" t="str"/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f>IFERROR(COUNTIFS(Checklist!$A$2:$A$400,A26,Checklist!$J$2:$J$400,"☑")/COUNTIF(Checklist!$A$2:$A$400,A26),0)</x:f>
        <x:v>0</x:v>
      </x:c>
      <x:c r="I26" s="24" t="str">
        <x:v>☐</x:v>
      </x:c>
      <x:c r="J26" s="24" t="str"/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113</x:v>
      </x:c>
      <x:c r="C4" t="str">
        <x:v>Remaining</x:v>
      </x:c>
      <x:c r="D4" t="n">
        <x:f>COUNTA(G8:G400)-COUNTIF(J8:J400,"☑")</x:f>
        <x:v>132</x:v>
      </x:c>
    </x:row>
    <x:row r="5">
      <x:c r="A5" t="str">
        <x:v>Completion</x:v>
      </x:c>
      <x:c r="B5" s="14" t="n">
        <x:f>IFERROR(B4/COUNTA(G8:G400),0)</x:f>
        <x:v>0.46122448979591835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☑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☑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☑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☑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☑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☑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☑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☑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☑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☑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☑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☑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☑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☑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☑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☑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☑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☑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☑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☑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☑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☑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☑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☑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☑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☑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☑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☑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☑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☑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☑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☑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☑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☑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☑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☑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☑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☑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☑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☑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☑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☑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☐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☐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☐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☐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☐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☐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☐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☐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☐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☐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☐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☐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☐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☐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☐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☐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☐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☐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☐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☐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☐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☐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☐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☐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☐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☐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☐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☐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☐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☐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☐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☐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☐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☐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☐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☐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☐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☐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☐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☐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☐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☐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☐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☐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☐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☐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☐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☐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☐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☐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☐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☐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☐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☐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☐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☐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☐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☐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☐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☐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☐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☐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☐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☐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☐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☐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☐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☐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☐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